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KEM VE TEMSİLCİLER" sheetId="1" r:id="rId4"/>
    <sheet state="visible" name="HAKEM VE TEMSİLCİLER sayfasının" sheetId="2" r:id="rId5"/>
    <sheet state="visible" name="Sayfa1" sheetId="3" r:id="rId6"/>
  </sheets>
  <definedNames/>
  <calcPr/>
  <extLst>
    <ext uri="GoogleSheetsCustomDataVersion2">
      <go:sheetsCustomData xmlns:go="http://customooxmlschemas.google.com/" r:id="rId7" roundtripDataChecksum="VeiWne8Wgi2dJacbr4kWVb3JvZVXBx9hSq7B6dXAJac="/>
    </ext>
  </extLst>
</workbook>
</file>

<file path=xl/sharedStrings.xml><?xml version="1.0" encoding="utf-8"?>
<sst xmlns="http://schemas.openxmlformats.org/spreadsheetml/2006/main" count="152" uniqueCount="44">
  <si>
    <t>ÖZEL TURNUVALARDA GÖREV YAPAN HAKEM, MASA GÖREVLİSİ VE GÖZLEMCİ  HAKEDİŞ BORDROSU - İSTANBUL İL TEMSİLCİLİĞİ</t>
  </si>
  <si>
    <t xml:space="preserve">           İHK</t>
  </si>
  <si>
    <t>FAALİYETİN ADI : CBL</t>
  </si>
  <si>
    <t>ORG. SORUMLUSU ADI SOYADI : EMRE ATALAY</t>
  </si>
  <si>
    <t>MAÇ GÜNÜ:</t>
  </si>
  <si>
    <t>..../..../ 2025</t>
  </si>
  <si>
    <t>İMZASI                                :</t>
  </si>
  <si>
    <t>………………………………………………</t>
  </si>
  <si>
    <t>SIRA
NO</t>
  </si>
  <si>
    <t>ADI SOYADI</t>
  </si>
  <si>
    <t>GÖREVİ</t>
  </si>
  <si>
    <t>GÖREV
SAYISI</t>
  </si>
  <si>
    <t xml:space="preserve">BRÜT ÜCRET </t>
  </si>
  <si>
    <t>TOPLAM
TUTAR</t>
  </si>
  <si>
    <t>DAMGA VERGİSİ
%  0,759</t>
  </si>
  <si>
    <t>NET ÖDENEN</t>
  </si>
  <si>
    <t>BANKA ADI</t>
  </si>
  <si>
    <t>İBAN NO</t>
  </si>
  <si>
    <t>İMZASI</t>
  </si>
  <si>
    <t>HAKEM</t>
  </si>
  <si>
    <t>TBF'DE MEVCUT</t>
  </si>
  <si>
    <t>TOPLAM</t>
  </si>
  <si>
    <t>MASA GÖREVLİSİ</t>
  </si>
  <si>
    <t>TEMSİLCİ</t>
  </si>
  <si>
    <t>GENEL TOPLAM</t>
  </si>
  <si>
    <t>Ödemenin yapılması uygundur</t>
  </si>
  <si>
    <t>Kontrol</t>
  </si>
  <si>
    <t>Onay</t>
  </si>
  <si>
    <t>CEM AKAN</t>
  </si>
  <si>
    <t>SERDAR ÇELİK</t>
  </si>
  <si>
    <t>DR. SERHAN ANTALYALI</t>
  </si>
  <si>
    <t>HALUK YAKIN</t>
  </si>
  <si>
    <t>ARDA NAVRUZ</t>
  </si>
  <si>
    <t>SEDA ESEN</t>
  </si>
  <si>
    <t>ÖZGÜN DEVRİM BAŞARA</t>
  </si>
  <si>
    <t>ŞEYHMUS MELEK</t>
  </si>
  <si>
    <t>İSMAİL ARSLAN</t>
  </si>
  <si>
    <t>GÜRKAN DEMİR</t>
  </si>
  <si>
    <t>CELAL GÖRMÜŞ</t>
  </si>
  <si>
    <t>FURKAN SÖYLEMEZOĞLU</t>
  </si>
  <si>
    <t>EMRE YAZICI</t>
  </si>
  <si>
    <t>BARIŞ AKSAKAL</t>
  </si>
  <si>
    <t>ÖMER KESKİN</t>
  </si>
  <si>
    <t>TURGUT PAŞALI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</si>
</sst>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&quot;₺&quot;"/>
  </numFmts>
  <fonts count="4">
    <font>
      <sz val="11.0"/>
      <color rgb="FF000000"/>
      <name val="Calibri"/>
      <scheme val="minor"/>
    </font>
    <font>
      <b/>
      <sz val="12.0"/>
      <color rgb="FF000000"/>
      <name val="Calibri"/>
    </font>
    <font/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6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right style="medium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double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double">
        <color rgb="FF000000"/>
      </lef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left style="thin">
        <color rgb="FF000000"/>
      </left>
      <right style="medium">
        <color rgb="FF000000"/>
      </right>
      <bottom style="double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/>
      <right/>
      <top/>
      <bottom/>
    </border>
    <border>
      <left style="medium">
        <color rgb="FF000000"/>
      </left>
      <top style="double">
        <color rgb="FF000000"/>
      </top>
    </border>
    <border>
      <top style="double">
        <color rgb="FF000000"/>
      </top>
    </border>
    <border>
      <right style="medium">
        <color rgb="FF000000"/>
      </right>
      <top style="double">
        <color rgb="FF000000"/>
      </top>
    </border>
    <border>
      <right style="hair">
        <color rgb="FF000000"/>
      </right>
      <top style="double">
        <color rgb="FF000000"/>
      </top>
    </border>
    <border>
      <left style="hair">
        <color rgb="FF000000"/>
      </left>
      <top style="double">
        <color rgb="FF000000"/>
      </top>
    </border>
    <border>
      <left style="medium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right style="medium">
        <color rgb="FF000000"/>
      </right>
      <top style="hair">
        <color rgb="FF000000"/>
      </top>
    </border>
    <border>
      <right style="hair">
        <color rgb="FF000000"/>
      </right>
    </border>
    <border>
      <left style="hair">
        <color rgb="FF000000"/>
      </lef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3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5" fillId="0" fontId="3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readingOrder="0" vertical="center"/>
    </xf>
    <xf borderId="0" fillId="0" fontId="3" numFmtId="0" xfId="0" applyAlignment="1" applyFont="1">
      <alignment vertical="center"/>
    </xf>
    <xf borderId="6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left" readingOrder="0" vertical="center"/>
    </xf>
    <xf borderId="10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readingOrder="0" vertical="center"/>
    </xf>
    <xf borderId="10" fillId="0" fontId="3" numFmtId="164" xfId="0" applyAlignment="1" applyBorder="1" applyFont="1" applyNumberFormat="1">
      <alignment horizontal="right" readingOrder="0" vertical="center"/>
    </xf>
    <xf borderId="10" fillId="0" fontId="3" numFmtId="164" xfId="0" applyAlignment="1" applyBorder="1" applyFont="1" applyNumberFormat="1">
      <alignment horizontal="right" vertical="center"/>
    </xf>
    <xf borderId="10" fillId="0" fontId="3" numFmtId="164" xfId="0" applyAlignment="1" applyBorder="1" applyFont="1" applyNumberFormat="1">
      <alignment vertical="center"/>
    </xf>
    <xf borderId="11" fillId="0" fontId="3" numFmtId="0" xfId="0" applyAlignment="1" applyBorder="1" applyFont="1">
      <alignment vertical="center"/>
    </xf>
    <xf borderId="11" fillId="0" fontId="3" numFmtId="4" xfId="0" applyAlignment="1" applyBorder="1" applyFont="1" applyNumberFormat="1">
      <alignment horizontal="center" vertical="center"/>
    </xf>
    <xf borderId="12" fillId="0" fontId="3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readingOrder="0" vertical="center"/>
    </xf>
    <xf borderId="11" fillId="0" fontId="3" numFmtId="0" xfId="0" applyAlignment="1" applyBorder="1" applyFont="1">
      <alignment horizontal="center" vertical="center"/>
    </xf>
    <xf borderId="15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left" vertical="center"/>
    </xf>
    <xf borderId="16" fillId="0" fontId="3" numFmtId="0" xfId="0" applyAlignment="1" applyBorder="1" applyFont="1">
      <alignment horizontal="center" vertical="center"/>
    </xf>
    <xf borderId="17" fillId="0" fontId="3" numFmtId="0" xfId="0" applyAlignment="1" applyBorder="1" applyFont="1">
      <alignment horizontal="center" vertical="center"/>
    </xf>
    <xf borderId="17" fillId="2" fontId="1" numFmtId="0" xfId="0" applyAlignment="1" applyBorder="1" applyFill="1" applyFont="1">
      <alignment horizontal="right" vertical="center"/>
    </xf>
    <xf borderId="17" fillId="2" fontId="1" numFmtId="0" xfId="0" applyAlignment="1" applyBorder="1" applyFont="1">
      <alignment horizontal="center" vertical="center"/>
    </xf>
    <xf borderId="17" fillId="2" fontId="3" numFmtId="4" xfId="0" applyAlignment="1" applyBorder="1" applyFont="1" applyNumberFormat="1">
      <alignment horizontal="right" vertical="center"/>
    </xf>
    <xf borderId="17" fillId="2" fontId="1" numFmtId="164" xfId="0" applyAlignment="1" applyBorder="1" applyFont="1" applyNumberFormat="1">
      <alignment horizontal="right" vertical="center"/>
    </xf>
    <xf borderId="17" fillId="0" fontId="3" numFmtId="0" xfId="0" applyAlignment="1" applyBorder="1" applyFont="1">
      <alignment vertical="center"/>
    </xf>
    <xf borderId="17" fillId="0" fontId="3" numFmtId="4" xfId="0" applyAlignment="1" applyBorder="1" applyFont="1" applyNumberFormat="1">
      <alignment vertical="center"/>
    </xf>
    <xf borderId="18" fillId="0" fontId="3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shrinkToFit="0" vertical="center" wrapText="1"/>
    </xf>
    <xf borderId="20" fillId="0" fontId="1" numFmtId="0" xfId="0" applyAlignment="1" applyBorder="1" applyFont="1">
      <alignment horizontal="center" shrinkToFit="0" vertical="center" wrapText="1"/>
    </xf>
    <xf borderId="21" fillId="0" fontId="1" numFmtId="0" xfId="0" applyAlignment="1" applyBorder="1" applyFont="1">
      <alignment horizontal="center" shrinkToFit="0" vertical="center" wrapText="1"/>
    </xf>
    <xf borderId="22" fillId="0" fontId="1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left" readingOrder="0" vertical="center"/>
    </xf>
    <xf borderId="23" fillId="0" fontId="3" numFmtId="0" xfId="0" applyAlignment="1" applyBorder="1" applyFont="1">
      <alignment vertical="center"/>
    </xf>
    <xf borderId="24" fillId="0" fontId="3" numFmtId="0" xfId="0" applyAlignment="1" applyBorder="1" applyFont="1">
      <alignment horizontal="center" vertical="center"/>
    </xf>
    <xf borderId="25" fillId="0" fontId="3" numFmtId="0" xfId="0" applyAlignment="1" applyBorder="1" applyFont="1">
      <alignment vertical="center"/>
    </xf>
    <xf borderId="26" fillId="0" fontId="3" numFmtId="0" xfId="0" applyAlignment="1" applyBorder="1" applyFont="1">
      <alignment horizontal="center" vertical="center"/>
    </xf>
    <xf borderId="27" fillId="2" fontId="1" numFmtId="0" xfId="0" applyAlignment="1" applyBorder="1" applyFont="1">
      <alignment horizontal="center" vertical="center"/>
    </xf>
    <xf borderId="27" fillId="2" fontId="3" numFmtId="4" xfId="0" applyAlignment="1" applyBorder="1" applyFont="1" applyNumberFormat="1">
      <alignment horizontal="right" vertical="center"/>
    </xf>
    <xf borderId="27" fillId="2" fontId="1" numFmtId="164" xfId="0" applyAlignment="1" applyBorder="1" applyFont="1" applyNumberFormat="1">
      <alignment horizontal="right" vertical="center"/>
    </xf>
    <xf borderId="28" fillId="0" fontId="3" numFmtId="0" xfId="0" applyAlignment="1" applyBorder="1" applyFont="1">
      <alignment vertical="center"/>
    </xf>
    <xf borderId="29" fillId="0" fontId="1" numFmtId="0" xfId="0" applyAlignment="1" applyBorder="1" applyFont="1">
      <alignment horizontal="center" shrinkToFit="0" vertical="center" wrapText="1"/>
    </xf>
    <xf borderId="30" fillId="0" fontId="1" numFmtId="0" xfId="0" applyAlignment="1" applyBorder="1" applyFont="1">
      <alignment horizontal="center" shrinkToFit="0" vertical="center" wrapText="1"/>
    </xf>
    <xf borderId="31" fillId="0" fontId="1" numFmtId="0" xfId="0" applyAlignment="1" applyBorder="1" applyFont="1">
      <alignment horizontal="center" shrinkToFit="0" vertical="center" wrapText="1"/>
    </xf>
    <xf borderId="32" fillId="0" fontId="1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readingOrder="0"/>
    </xf>
    <xf borderId="10" fillId="0" fontId="3" numFmtId="0" xfId="0" applyAlignment="1" applyBorder="1" applyFont="1">
      <alignment vertical="center"/>
    </xf>
    <xf borderId="33" fillId="0" fontId="3" numFmtId="0" xfId="0" applyAlignment="1" applyBorder="1" applyFont="1">
      <alignment vertical="center"/>
    </xf>
    <xf borderId="11" fillId="0" fontId="3" numFmtId="0" xfId="0" applyBorder="1" applyFont="1"/>
    <xf borderId="24" fillId="0" fontId="3" numFmtId="0" xfId="0" applyAlignment="1" applyBorder="1" applyFont="1">
      <alignment vertical="center"/>
    </xf>
    <xf borderId="34" fillId="0" fontId="3" numFmtId="0" xfId="0" applyAlignment="1" applyBorder="1" applyFont="1">
      <alignment horizontal="center" vertical="center"/>
    </xf>
    <xf borderId="17" fillId="2" fontId="3" numFmtId="164" xfId="0" applyAlignment="1" applyBorder="1" applyFont="1" applyNumberFormat="1">
      <alignment horizontal="right" vertical="center"/>
    </xf>
    <xf borderId="35" fillId="2" fontId="1" numFmtId="164" xfId="0" applyAlignment="1" applyBorder="1" applyFont="1" applyNumberFormat="1">
      <alignment horizontal="right" vertical="center"/>
    </xf>
    <xf borderId="36" fillId="0" fontId="3" numFmtId="4" xfId="0" applyAlignment="1" applyBorder="1" applyFont="1" applyNumberFormat="1">
      <alignment vertical="center"/>
    </xf>
    <xf borderId="18" fillId="0" fontId="3" numFmtId="0" xfId="0" applyAlignment="1" applyBorder="1" applyFont="1">
      <alignment vertical="center"/>
    </xf>
    <xf borderId="37" fillId="2" fontId="1" numFmtId="0" xfId="0" applyAlignment="1" applyBorder="1" applyFont="1">
      <alignment vertical="center"/>
    </xf>
    <xf borderId="38" fillId="0" fontId="1" numFmtId="0" xfId="0" applyAlignment="1" applyBorder="1" applyFont="1">
      <alignment horizontal="center" vertical="center"/>
    </xf>
    <xf borderId="39" fillId="0" fontId="2" numFmtId="0" xfId="0" applyBorder="1" applyFont="1"/>
    <xf borderId="40" fillId="0" fontId="2" numFmtId="0" xfId="0" applyBorder="1" applyFont="1"/>
    <xf borderId="41" fillId="0" fontId="2" numFmtId="0" xfId="0" applyBorder="1" applyFont="1"/>
    <xf borderId="42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readingOrder="0" vertical="center"/>
    </xf>
    <xf borderId="44" fillId="0" fontId="2" numFmtId="0" xfId="0" applyBorder="1" applyFont="1"/>
    <xf borderId="45" fillId="0" fontId="2" numFmtId="0" xfId="0" applyBorder="1" applyFont="1"/>
    <xf borderId="46" fillId="0" fontId="1" numFmtId="0" xfId="0" applyAlignment="1" applyBorder="1" applyFont="1">
      <alignment horizontal="center" readingOrder="0" vertical="center"/>
    </xf>
    <xf borderId="46" fillId="0" fontId="1" numFmtId="0" xfId="0" applyAlignment="1" applyBorder="1" applyFont="1">
      <alignment horizontal="center" vertical="center"/>
    </xf>
    <xf borderId="47" fillId="0" fontId="2" numFmtId="0" xfId="0" applyBorder="1" applyFont="1"/>
    <xf borderId="4" fillId="0" fontId="2" numFmtId="0" xfId="0" applyBorder="1" applyFont="1"/>
    <xf borderId="48" fillId="0" fontId="2" numFmtId="0" xfId="0" applyBorder="1" applyFont="1"/>
    <xf borderId="49" fillId="0" fontId="2" numFmtId="0" xfId="0" applyBorder="1" applyFont="1"/>
    <xf borderId="5" fillId="0" fontId="2" numFmtId="0" xfId="0" applyBorder="1" applyFont="1"/>
    <xf borderId="50" fillId="0" fontId="2" numFmtId="0" xfId="0" applyBorder="1" applyFont="1"/>
    <xf borderId="51" fillId="0" fontId="2" numFmtId="0" xfId="0" applyBorder="1" applyFont="1"/>
    <xf borderId="52" fillId="0" fontId="2" numFmtId="0" xfId="0" applyBorder="1" applyFont="1"/>
    <xf borderId="53" fillId="0" fontId="2" numFmtId="0" xfId="0" applyBorder="1" applyFont="1"/>
    <xf borderId="12" fillId="0" fontId="2" numFmtId="0" xfId="0" applyBorder="1" applyFont="1"/>
    <xf borderId="54" fillId="0" fontId="1" numFmtId="0" xfId="0" applyAlignment="1" applyBorder="1" applyFont="1">
      <alignment horizontal="center" vertical="center"/>
    </xf>
    <xf borderId="55" fillId="0" fontId="2" numFmtId="0" xfId="0" applyBorder="1" applyFont="1"/>
    <xf borderId="56" fillId="0" fontId="2" numFmtId="0" xfId="0" applyBorder="1" applyFont="1"/>
    <xf borderId="57" fillId="0" fontId="3" numFmtId="0" xfId="0" applyAlignment="1" applyBorder="1" applyFont="1">
      <alignment horizontal="center" readingOrder="0" vertical="center"/>
    </xf>
    <xf borderId="58" fillId="0" fontId="3" numFmtId="0" xfId="0" applyAlignment="1" applyBorder="1" applyFont="1">
      <alignment horizontal="left" readingOrder="0" vertical="center"/>
    </xf>
    <xf borderId="58" fillId="0" fontId="3" numFmtId="0" xfId="0" applyAlignment="1" applyBorder="1" applyFont="1">
      <alignment vertical="center"/>
    </xf>
    <xf borderId="59" fillId="0" fontId="3" numFmtId="0" xfId="0" applyAlignment="1" applyBorder="1" applyFont="1">
      <alignment horizontal="center" vertical="center"/>
    </xf>
    <xf borderId="27" fillId="2" fontId="1" numFmtId="164" xfId="0" applyAlignment="1" applyBorder="1" applyFont="1" applyNumberFormat="1">
      <alignment horizontal="center" vertical="center"/>
    </xf>
    <xf borderId="43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85725</xdr:rowOff>
    </xdr:from>
    <xdr:ext cx="5429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85725</xdr:rowOff>
    </xdr:from>
    <xdr:ext cx="5429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85725</xdr:rowOff>
    </xdr:from>
    <xdr:ext cx="5429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85725</xdr:rowOff>
    </xdr:from>
    <xdr:ext cx="5429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85725</xdr:rowOff>
    </xdr:from>
    <xdr:ext cx="5429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85725</xdr:rowOff>
    </xdr:from>
    <xdr:ext cx="5429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85725</xdr:rowOff>
    </xdr:from>
    <xdr:ext cx="5429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85725</xdr:rowOff>
    </xdr:from>
    <xdr:ext cx="5429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85725</xdr:rowOff>
    </xdr:from>
    <xdr:ext cx="5429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85725</xdr:rowOff>
    </xdr:from>
    <xdr:ext cx="5429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85725</xdr:rowOff>
    </xdr:from>
    <xdr:ext cx="5429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85725</xdr:rowOff>
    </xdr:from>
    <xdr:ext cx="5429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5.86"/>
    <col customWidth="1" min="3" max="3" width="17.43"/>
    <col customWidth="1" min="4" max="4" width="8.43"/>
    <col customWidth="1" min="5" max="5" width="10.43"/>
    <col customWidth="1" min="6" max="6" width="10.57"/>
    <col customWidth="1" min="7" max="7" width="11.86"/>
    <col customWidth="1" min="8" max="8" width="12.71"/>
    <col customWidth="1" min="9" max="9" width="19.0"/>
    <col customWidth="1" min="10" max="10" width="32.43"/>
    <col customWidth="1" min="11" max="11" width="16.14"/>
  </cols>
  <sheetData>
    <row r="1" ht="23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3.25" customHeight="1">
      <c r="A2" s="5"/>
      <c r="B2" s="6" t="s">
        <v>1</v>
      </c>
      <c r="C2" s="7" t="s">
        <v>2</v>
      </c>
      <c r="D2" s="6"/>
      <c r="E2" s="6"/>
      <c r="F2" s="6"/>
      <c r="G2" s="6"/>
      <c r="H2" s="6"/>
      <c r="I2" s="7" t="s">
        <v>3</v>
      </c>
      <c r="J2" s="6"/>
      <c r="K2" s="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3.25" customHeight="1">
      <c r="A3" s="5"/>
      <c r="B3" s="9"/>
      <c r="C3" s="6" t="s">
        <v>4</v>
      </c>
      <c r="D3" s="10" t="s">
        <v>5</v>
      </c>
      <c r="F3" s="6"/>
      <c r="G3" s="9"/>
      <c r="H3" s="9"/>
      <c r="I3" s="6" t="s">
        <v>6</v>
      </c>
      <c r="J3" s="11" t="s">
        <v>7</v>
      </c>
      <c r="K3" s="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7.25" customHeight="1">
      <c r="A4" s="12" t="s">
        <v>8</v>
      </c>
      <c r="B4" s="13" t="s">
        <v>9</v>
      </c>
      <c r="C4" s="13" t="s">
        <v>10</v>
      </c>
      <c r="D4" s="13" t="s">
        <v>11</v>
      </c>
      <c r="E4" s="14" t="s">
        <v>12</v>
      </c>
      <c r="F4" s="13" t="s">
        <v>13</v>
      </c>
      <c r="G4" s="13" t="s">
        <v>14</v>
      </c>
      <c r="H4" s="13" t="s">
        <v>15</v>
      </c>
      <c r="I4" s="13" t="s">
        <v>16</v>
      </c>
      <c r="J4" s="13" t="s">
        <v>17</v>
      </c>
      <c r="K4" s="15" t="s">
        <v>18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6">
        <v>1.0</v>
      </c>
      <c r="B5" s="17"/>
      <c r="C5" s="18" t="s">
        <v>19</v>
      </c>
      <c r="D5" s="19">
        <v>1.0</v>
      </c>
      <c r="E5" s="20">
        <v>1500.0</v>
      </c>
      <c r="F5" s="21">
        <f t="shared" ref="F5:F7" si="1">D5*E5</f>
        <v>1500</v>
      </c>
      <c r="G5" s="22">
        <f t="shared" ref="G5:G7" si="2">+F5/0.99241*(0.759%)</f>
        <v>11.47207303</v>
      </c>
      <c r="H5" s="22">
        <f t="shared" ref="H5:H7" si="3">F5-G5</f>
        <v>1488.527927</v>
      </c>
      <c r="I5" s="23"/>
      <c r="J5" s="24" t="s">
        <v>20</v>
      </c>
      <c r="K5" s="2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26">
        <v>2.0</v>
      </c>
      <c r="B6" s="27"/>
      <c r="C6" s="28" t="s">
        <v>19</v>
      </c>
      <c r="D6" s="19">
        <v>1.0</v>
      </c>
      <c r="E6" s="20">
        <v>1500.0</v>
      </c>
      <c r="F6" s="21">
        <f t="shared" si="1"/>
        <v>1500</v>
      </c>
      <c r="G6" s="22">
        <f t="shared" si="2"/>
        <v>11.47207303</v>
      </c>
      <c r="H6" s="22">
        <f t="shared" si="3"/>
        <v>1488.527927</v>
      </c>
      <c r="I6" s="23"/>
      <c r="J6" s="24" t="s">
        <v>20</v>
      </c>
      <c r="K6" s="2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26">
        <v>3.0</v>
      </c>
      <c r="B7" s="17"/>
      <c r="C7" s="28" t="s">
        <v>19</v>
      </c>
      <c r="D7" s="19">
        <v>1.0</v>
      </c>
      <c r="E7" s="20">
        <v>1500.0</v>
      </c>
      <c r="F7" s="21">
        <f t="shared" si="1"/>
        <v>1500</v>
      </c>
      <c r="G7" s="22">
        <f t="shared" si="2"/>
        <v>11.47207303</v>
      </c>
      <c r="H7" s="22">
        <f t="shared" si="3"/>
        <v>1488.527927</v>
      </c>
      <c r="I7" s="11"/>
      <c r="J7" s="24" t="s">
        <v>20</v>
      </c>
      <c r="K7" s="29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26">
        <v>4.0</v>
      </c>
      <c r="B8" s="30"/>
      <c r="C8" s="28"/>
      <c r="D8" s="28"/>
      <c r="E8" s="21"/>
      <c r="F8" s="21"/>
      <c r="G8" s="22"/>
      <c r="H8" s="22"/>
      <c r="I8" s="23"/>
      <c r="J8" s="24"/>
      <c r="K8" s="29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26">
        <v>5.0</v>
      </c>
      <c r="B9" s="30"/>
      <c r="C9" s="28"/>
      <c r="D9" s="28"/>
      <c r="E9" s="21"/>
      <c r="F9" s="21"/>
      <c r="G9" s="22"/>
      <c r="H9" s="22"/>
      <c r="I9" s="23"/>
      <c r="J9" s="24"/>
      <c r="K9" s="2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26">
        <v>6.0</v>
      </c>
      <c r="B10" s="30"/>
      <c r="C10" s="28"/>
      <c r="D10" s="28"/>
      <c r="E10" s="21"/>
      <c r="F10" s="21"/>
      <c r="G10" s="22"/>
      <c r="H10" s="22"/>
      <c r="I10" s="23"/>
      <c r="J10" s="24"/>
      <c r="K10" s="2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31"/>
      <c r="B11" s="32"/>
      <c r="C11" s="33" t="s">
        <v>21</v>
      </c>
      <c r="D11" s="34">
        <f>SUM(D5:D10)</f>
        <v>3</v>
      </c>
      <c r="E11" s="35"/>
      <c r="F11" s="36">
        <f t="shared" ref="F11:H11" si="4">SUM(F5:F10)</f>
        <v>4500</v>
      </c>
      <c r="G11" s="36">
        <f t="shared" si="4"/>
        <v>34.4162191</v>
      </c>
      <c r="H11" s="36">
        <f t="shared" si="4"/>
        <v>4465.583781</v>
      </c>
      <c r="I11" s="37"/>
      <c r="J11" s="38"/>
      <c r="K11" s="3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7.25" customHeight="1">
      <c r="A12" s="40" t="s">
        <v>8</v>
      </c>
      <c r="B12" s="13" t="s">
        <v>9</v>
      </c>
      <c r="C12" s="13" t="s">
        <v>10</v>
      </c>
      <c r="D12" s="13" t="s">
        <v>11</v>
      </c>
      <c r="E12" s="14" t="s">
        <v>12</v>
      </c>
      <c r="F12" s="13" t="s">
        <v>13</v>
      </c>
      <c r="G12" s="13" t="s">
        <v>14</v>
      </c>
      <c r="H12" s="13" t="s">
        <v>15</v>
      </c>
      <c r="I12" s="41" t="s">
        <v>16</v>
      </c>
      <c r="J12" s="42" t="s">
        <v>17</v>
      </c>
      <c r="K12" s="43" t="s">
        <v>18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26">
        <v>1.0</v>
      </c>
      <c r="B13" s="44"/>
      <c r="C13" s="28" t="s">
        <v>22</v>
      </c>
      <c r="D13" s="19">
        <v>1.0</v>
      </c>
      <c r="E13" s="20">
        <v>500.0</v>
      </c>
      <c r="F13" s="21">
        <f t="shared" ref="F13:F15" si="5">D13*E13</f>
        <v>500</v>
      </c>
      <c r="G13" s="22">
        <f t="shared" ref="G13:G15" si="6">+F13/0.99241*(0.759%)</f>
        <v>3.824024345</v>
      </c>
      <c r="H13" s="22">
        <f t="shared" ref="H13:H15" si="7">F13-G13</f>
        <v>496.1759757</v>
      </c>
      <c r="I13" s="45"/>
      <c r="J13" s="24" t="s">
        <v>20</v>
      </c>
      <c r="K13" s="46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26">
        <v>2.0</v>
      </c>
      <c r="B14" s="44"/>
      <c r="C14" s="28" t="s">
        <v>22</v>
      </c>
      <c r="D14" s="19">
        <v>1.0</v>
      </c>
      <c r="E14" s="20">
        <v>500.0</v>
      </c>
      <c r="F14" s="21">
        <f t="shared" si="5"/>
        <v>500</v>
      </c>
      <c r="G14" s="22">
        <f t="shared" si="6"/>
        <v>3.824024345</v>
      </c>
      <c r="H14" s="22">
        <f t="shared" si="7"/>
        <v>496.1759757</v>
      </c>
      <c r="I14" s="45"/>
      <c r="J14" s="24" t="s">
        <v>20</v>
      </c>
      <c r="K14" s="46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26">
        <v>3.0</v>
      </c>
      <c r="B15" s="44"/>
      <c r="C15" s="28" t="s">
        <v>22</v>
      </c>
      <c r="D15" s="19">
        <v>1.0</v>
      </c>
      <c r="E15" s="20">
        <v>500.0</v>
      </c>
      <c r="F15" s="21">
        <f t="shared" si="5"/>
        <v>500</v>
      </c>
      <c r="G15" s="22">
        <f t="shared" si="6"/>
        <v>3.824024345</v>
      </c>
      <c r="H15" s="22">
        <f t="shared" si="7"/>
        <v>496.1759757</v>
      </c>
      <c r="I15" s="47"/>
      <c r="J15" s="24" t="s">
        <v>20</v>
      </c>
      <c r="K15" s="46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26">
        <v>4.0</v>
      </c>
      <c r="B16" s="30"/>
      <c r="C16" s="28"/>
      <c r="D16" s="28"/>
      <c r="E16" s="21"/>
      <c r="F16" s="21"/>
      <c r="G16" s="22"/>
      <c r="H16" s="22"/>
      <c r="I16" s="45"/>
      <c r="J16" s="24"/>
      <c r="K16" s="46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26">
        <v>5.0</v>
      </c>
      <c r="B17" s="30"/>
      <c r="C17" s="28"/>
      <c r="D17" s="28"/>
      <c r="E17" s="21"/>
      <c r="F17" s="21"/>
      <c r="G17" s="22"/>
      <c r="H17" s="22"/>
      <c r="I17" s="45"/>
      <c r="J17" s="24"/>
      <c r="K17" s="46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26">
        <v>6.0</v>
      </c>
      <c r="B18" s="30"/>
      <c r="C18" s="28"/>
      <c r="D18" s="28"/>
      <c r="E18" s="21"/>
      <c r="F18" s="21"/>
      <c r="G18" s="22"/>
      <c r="H18" s="22"/>
      <c r="I18" s="45"/>
      <c r="J18" s="24"/>
      <c r="K18" s="4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8"/>
      <c r="B19" s="32"/>
      <c r="C19" s="33" t="s">
        <v>21</v>
      </c>
      <c r="D19" s="49">
        <f>SUM(D13:D18)</f>
        <v>3</v>
      </c>
      <c r="E19" s="50"/>
      <c r="F19" s="51">
        <f t="shared" ref="F19:H19" si="8">SUM(F13:F18)</f>
        <v>1500</v>
      </c>
      <c r="G19" s="51">
        <f t="shared" si="8"/>
        <v>11.47207303</v>
      </c>
      <c r="H19" s="51">
        <f t="shared" si="8"/>
        <v>1488.527927</v>
      </c>
      <c r="I19" s="52"/>
      <c r="J19" s="24"/>
      <c r="K19" s="3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49.5" customHeight="1">
      <c r="A20" s="40" t="s">
        <v>8</v>
      </c>
      <c r="B20" s="53" t="s">
        <v>9</v>
      </c>
      <c r="C20" s="13" t="s">
        <v>10</v>
      </c>
      <c r="D20" s="13" t="s">
        <v>11</v>
      </c>
      <c r="E20" s="14" t="s">
        <v>12</v>
      </c>
      <c r="F20" s="13" t="s">
        <v>13</v>
      </c>
      <c r="G20" s="13" t="s">
        <v>14</v>
      </c>
      <c r="H20" s="13" t="s">
        <v>15</v>
      </c>
      <c r="I20" s="54" t="s">
        <v>16</v>
      </c>
      <c r="J20" s="55" t="s">
        <v>17</v>
      </c>
      <c r="K20" s="56" t="s">
        <v>18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6">
        <v>1.0</v>
      </c>
      <c r="B21" s="57"/>
      <c r="C21" s="28" t="s">
        <v>23</v>
      </c>
      <c r="D21" s="19">
        <v>1.0</v>
      </c>
      <c r="E21" s="20">
        <v>750.0</v>
      </c>
      <c r="F21" s="21">
        <f>D21*E21</f>
        <v>750</v>
      </c>
      <c r="G21" s="22">
        <f>+F21/0.99241*(0.759%)</f>
        <v>5.736036517</v>
      </c>
      <c r="H21" s="22">
        <f>F21-G21</f>
        <v>744.2639635</v>
      </c>
      <c r="I21" s="58"/>
      <c r="J21" s="28" t="s">
        <v>20</v>
      </c>
      <c r="K21" s="5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6"/>
      <c r="B22" s="60"/>
      <c r="C22" s="28"/>
      <c r="D22" s="28"/>
      <c r="E22" s="21"/>
      <c r="F22" s="21"/>
      <c r="G22" s="22"/>
      <c r="H22" s="22"/>
      <c r="I22" s="23"/>
      <c r="J22" s="28"/>
      <c r="K22" s="61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1"/>
      <c r="B23" s="62"/>
      <c r="C23" s="33" t="s">
        <v>21</v>
      </c>
      <c r="D23" s="34">
        <f>SUM(D21:D22)</f>
        <v>1</v>
      </c>
      <c r="E23" s="63"/>
      <c r="F23" s="36">
        <f t="shared" ref="F23:H23" si="9">SUM(F21:F22)</f>
        <v>750</v>
      </c>
      <c r="G23" s="36">
        <f t="shared" si="9"/>
        <v>5.736036517</v>
      </c>
      <c r="H23" s="64">
        <f t="shared" si="9"/>
        <v>744.2639635</v>
      </c>
      <c r="I23" s="52"/>
      <c r="J23" s="65"/>
      <c r="K23" s="6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/>
      <c r="B24" s="11"/>
      <c r="C24" s="67" t="s">
        <v>24</v>
      </c>
      <c r="D24" s="49">
        <f>+D23+D19+D11</f>
        <v>7</v>
      </c>
      <c r="E24" s="51"/>
      <c r="F24" s="51">
        <f t="shared" ref="F24:H24" si="10">+F23+F19+F11</f>
        <v>6750</v>
      </c>
      <c r="G24" s="51">
        <f t="shared" si="10"/>
        <v>51.62432865</v>
      </c>
      <c r="H24" s="51">
        <f t="shared" si="10"/>
        <v>6698.375671</v>
      </c>
      <c r="I24" s="11"/>
      <c r="J24" s="11"/>
      <c r="K24" s="8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68" t="s">
        <v>25</v>
      </c>
      <c r="B25" s="69"/>
      <c r="C25" s="69"/>
      <c r="D25" s="69"/>
      <c r="E25" s="69"/>
      <c r="F25" s="69"/>
      <c r="G25" s="69"/>
      <c r="H25" s="69"/>
      <c r="I25" s="69"/>
      <c r="J25" s="69"/>
      <c r="K25" s="70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0.25" customHeight="1">
      <c r="A26" s="68" t="s">
        <v>26</v>
      </c>
      <c r="B26" s="69"/>
      <c r="C26" s="69"/>
      <c r="D26" s="69"/>
      <c r="E26" s="69"/>
      <c r="F26" s="69"/>
      <c r="G26" s="69"/>
      <c r="H26" s="69"/>
      <c r="I26" s="71"/>
      <c r="J26" s="72" t="s">
        <v>27</v>
      </c>
      <c r="K26" s="70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0" customHeight="1">
      <c r="A27" s="73" t="s">
        <v>28</v>
      </c>
      <c r="B27" s="74"/>
      <c r="C27" s="74"/>
      <c r="D27" s="75"/>
      <c r="E27" s="76" t="s">
        <v>29</v>
      </c>
      <c r="F27" s="74"/>
      <c r="G27" s="74"/>
      <c r="H27" s="74"/>
      <c r="I27" s="75"/>
      <c r="J27" s="77" t="s">
        <v>30</v>
      </c>
      <c r="K27" s="78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0" customHeight="1">
      <c r="A28" s="79"/>
      <c r="D28" s="80"/>
      <c r="E28" s="81"/>
      <c r="I28" s="80"/>
      <c r="J28" s="81"/>
      <c r="K28" s="82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0" customHeight="1">
      <c r="A29" s="79"/>
      <c r="D29" s="80"/>
      <c r="E29" s="81"/>
      <c r="I29" s="80"/>
      <c r="J29" s="81"/>
      <c r="K29" s="82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83"/>
      <c r="B30" s="84"/>
      <c r="C30" s="84"/>
      <c r="D30" s="85"/>
      <c r="E30" s="86"/>
      <c r="F30" s="84"/>
      <c r="G30" s="84"/>
      <c r="H30" s="84"/>
      <c r="I30" s="85"/>
      <c r="J30" s="86"/>
      <c r="K30" s="87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88"/>
      <c r="B31" s="89"/>
      <c r="C31" s="89"/>
      <c r="D31" s="89"/>
      <c r="E31" s="89"/>
      <c r="F31" s="89"/>
      <c r="G31" s="89"/>
      <c r="H31" s="89"/>
      <c r="I31" s="89"/>
      <c r="J31" s="89"/>
      <c r="K31" s="90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9">
    <mergeCell ref="E27:I30"/>
    <mergeCell ref="A31:K31"/>
    <mergeCell ref="A1:K1"/>
    <mergeCell ref="D3:E3"/>
    <mergeCell ref="A25:K25"/>
    <mergeCell ref="A26:I26"/>
    <mergeCell ref="J26:K26"/>
    <mergeCell ref="A27:D30"/>
    <mergeCell ref="J27:K30"/>
  </mergeCells>
  <printOptions horizontalCentered="1" verticalCentered="1"/>
  <pageMargins bottom="0.0" footer="0.0" header="0.0" left="0.0" right="0.0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5.86"/>
    <col customWidth="1" min="3" max="3" width="17.43"/>
    <col customWidth="1" min="4" max="4" width="8.43"/>
    <col customWidth="1" min="5" max="5" width="10.43"/>
    <col customWidth="1" min="6" max="6" width="10.57"/>
    <col customWidth="1" min="7" max="7" width="11.86"/>
    <col customWidth="1" min="8" max="8" width="12.71"/>
    <col customWidth="1" min="9" max="9" width="19.0"/>
    <col customWidth="1" min="10" max="10" width="32.43"/>
    <col customWidth="1" min="11" max="11" width="16.14"/>
  </cols>
  <sheetData>
    <row r="1" ht="23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23.25" customHeight="1">
      <c r="A2" s="5"/>
      <c r="B2" s="6" t="s">
        <v>1</v>
      </c>
      <c r="C2" s="7" t="s">
        <v>2</v>
      </c>
      <c r="D2" s="6"/>
      <c r="E2" s="6"/>
      <c r="F2" s="6"/>
      <c r="G2" s="6"/>
      <c r="H2" s="6"/>
      <c r="I2" s="7" t="s">
        <v>3</v>
      </c>
      <c r="J2" s="6"/>
      <c r="K2" s="8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ht="23.25" customHeight="1">
      <c r="A3" s="5"/>
      <c r="B3" s="9"/>
      <c r="C3" s="6" t="s">
        <v>4</v>
      </c>
      <c r="D3" s="10" t="s">
        <v>5</v>
      </c>
      <c r="F3" s="6"/>
      <c r="G3" s="9"/>
      <c r="H3" s="9"/>
      <c r="I3" s="6" t="s">
        <v>6</v>
      </c>
      <c r="J3" s="11" t="s">
        <v>7</v>
      </c>
      <c r="K3" s="8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47.25" customHeight="1">
      <c r="A4" s="12" t="s">
        <v>8</v>
      </c>
      <c r="B4" s="13" t="s">
        <v>9</v>
      </c>
      <c r="C4" s="13" t="s">
        <v>10</v>
      </c>
      <c r="D4" s="13" t="s">
        <v>11</v>
      </c>
      <c r="E4" s="14" t="s">
        <v>12</v>
      </c>
      <c r="F4" s="13" t="s">
        <v>13</v>
      </c>
      <c r="G4" s="13" t="s">
        <v>14</v>
      </c>
      <c r="H4" s="13" t="s">
        <v>15</v>
      </c>
      <c r="I4" s="13" t="s">
        <v>16</v>
      </c>
      <c r="J4" s="13" t="s">
        <v>17</v>
      </c>
      <c r="K4" s="15" t="s">
        <v>18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15.75" customHeight="1">
      <c r="A5" s="16">
        <v>1.0</v>
      </c>
      <c r="B5" s="17" t="s">
        <v>31</v>
      </c>
      <c r="C5" s="18" t="s">
        <v>19</v>
      </c>
      <c r="D5" s="19">
        <v>1.0</v>
      </c>
      <c r="E5" s="20">
        <v>1500.0</v>
      </c>
      <c r="F5" s="21">
        <f t="shared" ref="F5:F13" si="1">D5*E5</f>
        <v>1500</v>
      </c>
      <c r="G5" s="22">
        <f t="shared" ref="G5:G13" si="2">+F5/0.99241*(0.759%)</f>
        <v>11.47207303</v>
      </c>
      <c r="H5" s="22">
        <f t="shared" ref="H5:H13" si="3">F5-G5</f>
        <v>1488.527927</v>
      </c>
      <c r="I5" s="23"/>
      <c r="J5" s="24" t="s">
        <v>20</v>
      </c>
      <c r="K5" s="25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15.75" customHeight="1">
      <c r="A6" s="26">
        <v>2.0</v>
      </c>
      <c r="B6" s="27" t="s">
        <v>32</v>
      </c>
      <c r="C6" s="28" t="s">
        <v>19</v>
      </c>
      <c r="D6" s="19">
        <v>1.0</v>
      </c>
      <c r="E6" s="20">
        <v>1500.0</v>
      </c>
      <c r="F6" s="21">
        <f t="shared" si="1"/>
        <v>1500</v>
      </c>
      <c r="G6" s="22">
        <f t="shared" si="2"/>
        <v>11.47207303</v>
      </c>
      <c r="H6" s="22">
        <f t="shared" si="3"/>
        <v>1488.527927</v>
      </c>
      <c r="I6" s="23"/>
      <c r="J6" s="24" t="s">
        <v>20</v>
      </c>
      <c r="K6" s="29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ht="15.75" customHeight="1">
      <c r="A7" s="26">
        <v>3.0</v>
      </c>
      <c r="B7" s="17" t="s">
        <v>33</v>
      </c>
      <c r="C7" s="28" t="s">
        <v>19</v>
      </c>
      <c r="D7" s="19">
        <v>1.0</v>
      </c>
      <c r="E7" s="20">
        <v>1500.0</v>
      </c>
      <c r="F7" s="21">
        <f t="shared" si="1"/>
        <v>1500</v>
      </c>
      <c r="G7" s="22">
        <f t="shared" si="2"/>
        <v>11.47207303</v>
      </c>
      <c r="H7" s="22">
        <f t="shared" si="3"/>
        <v>1488.527927</v>
      </c>
      <c r="I7" s="11"/>
      <c r="J7" s="24" t="s">
        <v>20</v>
      </c>
      <c r="K7" s="29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15.75" customHeight="1">
      <c r="A8" s="26">
        <v>4.0</v>
      </c>
      <c r="B8" s="44" t="s">
        <v>34</v>
      </c>
      <c r="C8" s="28" t="s">
        <v>19</v>
      </c>
      <c r="D8" s="19">
        <v>1.0</v>
      </c>
      <c r="E8" s="20">
        <v>1500.0</v>
      </c>
      <c r="F8" s="21">
        <f t="shared" si="1"/>
        <v>1500</v>
      </c>
      <c r="G8" s="22">
        <f t="shared" si="2"/>
        <v>11.47207303</v>
      </c>
      <c r="H8" s="22">
        <f t="shared" si="3"/>
        <v>1488.527927</v>
      </c>
      <c r="I8" s="23"/>
      <c r="J8" s="24" t="s">
        <v>20</v>
      </c>
      <c r="K8" s="29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15.75" customHeight="1">
      <c r="A9" s="26">
        <v>5.0</v>
      </c>
      <c r="B9" s="44" t="s">
        <v>35</v>
      </c>
      <c r="C9" s="28" t="s">
        <v>19</v>
      </c>
      <c r="D9" s="19">
        <v>1.0</v>
      </c>
      <c r="E9" s="20">
        <v>1500.0</v>
      </c>
      <c r="F9" s="21">
        <f t="shared" si="1"/>
        <v>1500</v>
      </c>
      <c r="G9" s="22">
        <f t="shared" si="2"/>
        <v>11.47207303</v>
      </c>
      <c r="H9" s="22">
        <f t="shared" si="3"/>
        <v>1488.527927</v>
      </c>
      <c r="I9" s="23"/>
      <c r="J9" s="24" t="s">
        <v>20</v>
      </c>
      <c r="K9" s="29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ht="15.75" customHeight="1">
      <c r="A10" s="26">
        <v>6.0</v>
      </c>
      <c r="B10" s="44" t="s">
        <v>36</v>
      </c>
      <c r="C10" s="28" t="s">
        <v>19</v>
      </c>
      <c r="D10" s="19">
        <v>1.0</v>
      </c>
      <c r="E10" s="20">
        <v>1500.0</v>
      </c>
      <c r="F10" s="21">
        <f t="shared" si="1"/>
        <v>1500</v>
      </c>
      <c r="G10" s="22">
        <f t="shared" si="2"/>
        <v>11.47207303</v>
      </c>
      <c r="H10" s="22">
        <f t="shared" si="3"/>
        <v>1488.527927</v>
      </c>
      <c r="I10" s="23"/>
      <c r="J10" s="24" t="s">
        <v>20</v>
      </c>
      <c r="K10" s="2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ht="15.75" customHeight="1">
      <c r="A11" s="91">
        <v>7.0</v>
      </c>
      <c r="B11" s="92" t="s">
        <v>37</v>
      </c>
      <c r="C11" s="28" t="s">
        <v>19</v>
      </c>
      <c r="D11" s="19">
        <v>2.0</v>
      </c>
      <c r="E11" s="20">
        <v>1500.0</v>
      </c>
      <c r="F11" s="21">
        <f t="shared" si="1"/>
        <v>3000</v>
      </c>
      <c r="G11" s="22">
        <f t="shared" si="2"/>
        <v>22.94414607</v>
      </c>
      <c r="H11" s="22">
        <f t="shared" si="3"/>
        <v>2977.055854</v>
      </c>
      <c r="I11" s="93"/>
      <c r="J11" s="24" t="s">
        <v>20</v>
      </c>
      <c r="K11" s="9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ht="15.75" customHeight="1">
      <c r="A12" s="91">
        <v>8.0</v>
      </c>
      <c r="B12" s="92" t="s">
        <v>38</v>
      </c>
      <c r="C12" s="28" t="s">
        <v>19</v>
      </c>
      <c r="D12" s="19">
        <v>1.0</v>
      </c>
      <c r="E12" s="20">
        <v>1500.0</v>
      </c>
      <c r="F12" s="21">
        <f t="shared" si="1"/>
        <v>1500</v>
      </c>
      <c r="G12" s="22">
        <f t="shared" si="2"/>
        <v>11.47207303</v>
      </c>
      <c r="H12" s="22">
        <f t="shared" si="3"/>
        <v>1488.527927</v>
      </c>
      <c r="I12" s="93"/>
      <c r="J12" s="24" t="s">
        <v>20</v>
      </c>
      <c r="K12" s="9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ht="15.75" customHeight="1">
      <c r="A13" s="91">
        <v>9.0</v>
      </c>
      <c r="B13" s="92" t="s">
        <v>39</v>
      </c>
      <c r="C13" s="28" t="s">
        <v>19</v>
      </c>
      <c r="D13" s="19">
        <v>1.0</v>
      </c>
      <c r="E13" s="20">
        <v>1500.0</v>
      </c>
      <c r="F13" s="21">
        <f t="shared" si="1"/>
        <v>1500</v>
      </c>
      <c r="G13" s="22">
        <f t="shared" si="2"/>
        <v>11.47207303</v>
      </c>
      <c r="H13" s="22">
        <f t="shared" si="3"/>
        <v>1488.527927</v>
      </c>
      <c r="I13" s="93"/>
      <c r="J13" s="24" t="s">
        <v>20</v>
      </c>
      <c r="K13" s="9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15.75" customHeight="1">
      <c r="A14" s="31"/>
      <c r="B14" s="32"/>
      <c r="C14" s="33" t="s">
        <v>21</v>
      </c>
      <c r="D14" s="34">
        <f>SUM(D5:D13)</f>
        <v>10</v>
      </c>
      <c r="E14" s="35"/>
      <c r="F14" s="36">
        <f t="shared" ref="F14:H14" si="4">SUM(F5:F13)</f>
        <v>15000</v>
      </c>
      <c r="G14" s="36">
        <f t="shared" si="4"/>
        <v>114.7207303</v>
      </c>
      <c r="H14" s="36">
        <f t="shared" si="4"/>
        <v>14885.27927</v>
      </c>
      <c r="I14" s="37"/>
      <c r="J14" s="38"/>
      <c r="K14" s="39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ht="47.25" customHeight="1">
      <c r="A15" s="40" t="s">
        <v>8</v>
      </c>
      <c r="B15" s="13" t="s">
        <v>9</v>
      </c>
      <c r="C15" s="13" t="s">
        <v>10</v>
      </c>
      <c r="D15" s="13" t="s">
        <v>11</v>
      </c>
      <c r="E15" s="14" t="s">
        <v>12</v>
      </c>
      <c r="F15" s="13" t="s">
        <v>13</v>
      </c>
      <c r="G15" s="13" t="s">
        <v>14</v>
      </c>
      <c r="H15" s="13" t="s">
        <v>15</v>
      </c>
      <c r="I15" s="41" t="s">
        <v>16</v>
      </c>
      <c r="J15" s="42" t="s">
        <v>17</v>
      </c>
      <c r="K15" s="43" t="s">
        <v>18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15.75" customHeight="1">
      <c r="A16" s="26">
        <v>1.0</v>
      </c>
      <c r="B16" s="44" t="s">
        <v>40</v>
      </c>
      <c r="C16" s="28" t="s">
        <v>22</v>
      </c>
      <c r="D16" s="19">
        <v>5.0</v>
      </c>
      <c r="E16" s="20">
        <v>500.0</v>
      </c>
      <c r="F16" s="21">
        <f t="shared" ref="F16:F17" si="5">D16*E16</f>
        <v>2500</v>
      </c>
      <c r="G16" s="22">
        <f t="shared" ref="G16:G17" si="6">+F16/0.99241*(0.759%)</f>
        <v>19.12012172</v>
      </c>
      <c r="H16" s="22">
        <f t="shared" ref="H16:H17" si="7">F16-G16</f>
        <v>2480.879878</v>
      </c>
      <c r="I16" s="45"/>
      <c r="J16" s="24" t="s">
        <v>20</v>
      </c>
      <c r="K16" s="46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15.75" customHeight="1">
      <c r="A17" s="26">
        <v>2.0</v>
      </c>
      <c r="B17" s="44" t="s">
        <v>41</v>
      </c>
      <c r="C17" s="28" t="s">
        <v>22</v>
      </c>
      <c r="D17" s="19">
        <v>5.0</v>
      </c>
      <c r="E17" s="20">
        <v>500.0</v>
      </c>
      <c r="F17" s="21">
        <f t="shared" si="5"/>
        <v>2500</v>
      </c>
      <c r="G17" s="22">
        <f t="shared" si="6"/>
        <v>19.12012172</v>
      </c>
      <c r="H17" s="22">
        <f t="shared" si="7"/>
        <v>2480.879878</v>
      </c>
      <c r="I17" s="45"/>
      <c r="J17" s="24" t="s">
        <v>20</v>
      </c>
      <c r="K17" s="46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5.75" customHeight="1">
      <c r="A18" s="26">
        <v>3.0</v>
      </c>
      <c r="B18" s="44"/>
      <c r="G18" s="28"/>
      <c r="H18" s="19"/>
      <c r="I18" s="20"/>
      <c r="J18" s="21"/>
      <c r="K18" s="22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ht="15.75" customHeight="1">
      <c r="A19" s="26">
        <v>4.0</v>
      </c>
      <c r="B19" s="30"/>
      <c r="G19" s="28"/>
      <c r="H19" s="19"/>
      <c r="I19" s="20"/>
      <c r="J19" s="21"/>
      <c r="K19" s="22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15.75" customHeight="1">
      <c r="A20" s="26">
        <v>5.0</v>
      </c>
      <c r="B20" s="30"/>
      <c r="C20" s="28"/>
      <c r="D20" s="28"/>
      <c r="E20" s="21"/>
      <c r="F20" s="21"/>
      <c r="G20" s="22"/>
      <c r="H20" s="22"/>
      <c r="I20" s="45"/>
      <c r="J20" s="24"/>
      <c r="K20" s="4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5.75" customHeight="1">
      <c r="A21" s="26">
        <v>6.0</v>
      </c>
      <c r="B21" s="30"/>
      <c r="C21" s="28"/>
      <c r="D21" s="28"/>
      <c r="E21" s="21"/>
      <c r="F21" s="21"/>
      <c r="G21" s="22"/>
      <c r="H21" s="22"/>
      <c r="I21" s="45"/>
      <c r="J21" s="24"/>
      <c r="K21" s="4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5.75" customHeight="1">
      <c r="A22" s="48"/>
      <c r="B22" s="32"/>
      <c r="C22" s="33" t="s">
        <v>21</v>
      </c>
      <c r="D22" s="49">
        <f>SUM(D16:D21)</f>
        <v>10</v>
      </c>
      <c r="E22" s="50"/>
      <c r="F22" s="95">
        <f t="shared" ref="F22:H22" si="8">SUM(F16:F21)</f>
        <v>5000</v>
      </c>
      <c r="G22" s="95">
        <f t="shared" si="8"/>
        <v>38.24024345</v>
      </c>
      <c r="H22" s="95">
        <f t="shared" si="8"/>
        <v>4961.759757</v>
      </c>
      <c r="I22" s="52"/>
      <c r="J22" s="24"/>
      <c r="K22" s="3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49.5" customHeight="1">
      <c r="A23" s="40" t="s">
        <v>8</v>
      </c>
      <c r="B23" s="53" t="s">
        <v>9</v>
      </c>
      <c r="C23" s="13" t="s">
        <v>10</v>
      </c>
      <c r="D23" s="13" t="s">
        <v>11</v>
      </c>
      <c r="E23" s="14" t="s">
        <v>12</v>
      </c>
      <c r="F23" s="13" t="s">
        <v>13</v>
      </c>
      <c r="G23" s="13" t="s">
        <v>14</v>
      </c>
      <c r="H23" s="13" t="s">
        <v>15</v>
      </c>
      <c r="I23" s="54" t="s">
        <v>16</v>
      </c>
      <c r="J23" s="55" t="s">
        <v>17</v>
      </c>
      <c r="K23" s="56" t="s">
        <v>18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5.75" customHeight="1">
      <c r="A24" s="26">
        <v>1.0</v>
      </c>
      <c r="B24" s="57" t="s">
        <v>42</v>
      </c>
      <c r="C24" s="28" t="s">
        <v>23</v>
      </c>
      <c r="D24" s="19">
        <v>5.0</v>
      </c>
      <c r="E24" s="20">
        <v>750.0</v>
      </c>
      <c r="F24" s="21">
        <f>D24*E24</f>
        <v>3750</v>
      </c>
      <c r="G24" s="22">
        <f>+F24/0.99241*(0.759%)</f>
        <v>28.68018259</v>
      </c>
      <c r="H24" s="22">
        <f>F24-G24</f>
        <v>3721.319817</v>
      </c>
      <c r="I24" s="58"/>
      <c r="J24" s="28" t="s">
        <v>20</v>
      </c>
      <c r="K24" s="5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ht="15.75" customHeight="1">
      <c r="A25" s="31"/>
      <c r="B25" s="62"/>
      <c r="C25" s="33" t="s">
        <v>21</v>
      </c>
      <c r="D25" s="34">
        <f>SUM(D24)</f>
        <v>5</v>
      </c>
      <c r="E25" s="63"/>
      <c r="F25" s="36">
        <f t="shared" ref="F25:H25" si="9">SUM(F24)</f>
        <v>3750</v>
      </c>
      <c r="G25" s="36">
        <f t="shared" si="9"/>
        <v>28.68018259</v>
      </c>
      <c r="H25" s="64">
        <f t="shared" si="9"/>
        <v>3721.319817</v>
      </c>
      <c r="I25" s="52"/>
      <c r="J25" s="65"/>
      <c r="K25" s="66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5.75" customHeight="1">
      <c r="A26" s="5"/>
      <c r="B26" s="11"/>
      <c r="C26" s="67" t="s">
        <v>24</v>
      </c>
      <c r="D26" s="49">
        <f>+D25+D22+D14</f>
        <v>25</v>
      </c>
      <c r="E26" s="51"/>
      <c r="F26" s="51">
        <f t="shared" ref="F26:H26" si="10">+F25+F22+F14</f>
        <v>23750</v>
      </c>
      <c r="G26" s="51">
        <f t="shared" si="10"/>
        <v>181.6411564</v>
      </c>
      <c r="H26" s="51">
        <f t="shared" si="10"/>
        <v>23568.35884</v>
      </c>
      <c r="I26" s="11"/>
      <c r="J26" s="11"/>
      <c r="K26" s="8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8.0" customHeight="1">
      <c r="A27" s="68" t="s">
        <v>25</v>
      </c>
      <c r="B27" s="69"/>
      <c r="C27" s="69"/>
      <c r="D27" s="69"/>
      <c r="E27" s="69"/>
      <c r="F27" s="69"/>
      <c r="G27" s="69"/>
      <c r="H27" s="69"/>
      <c r="I27" s="69"/>
      <c r="J27" s="69"/>
      <c r="K27" s="70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20.25" customHeight="1">
      <c r="A28" s="68" t="s">
        <v>26</v>
      </c>
      <c r="B28" s="69"/>
      <c r="C28" s="69"/>
      <c r="D28" s="69"/>
      <c r="E28" s="69"/>
      <c r="F28" s="69"/>
      <c r="G28" s="69"/>
      <c r="H28" s="69"/>
      <c r="I28" s="71"/>
      <c r="J28" s="72" t="s">
        <v>27</v>
      </c>
      <c r="K28" s="70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12.0" customHeight="1">
      <c r="A29" s="96" t="s">
        <v>43</v>
      </c>
      <c r="B29" s="74"/>
      <c r="C29" s="74"/>
      <c r="D29" s="75"/>
      <c r="E29" s="76" t="s">
        <v>29</v>
      </c>
      <c r="F29" s="74"/>
      <c r="G29" s="74"/>
      <c r="H29" s="74"/>
      <c r="I29" s="75"/>
      <c r="J29" s="77" t="s">
        <v>30</v>
      </c>
      <c r="K29" s="78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2.0" customHeight="1">
      <c r="A30" s="79"/>
      <c r="D30" s="80"/>
      <c r="E30" s="81"/>
      <c r="I30" s="80"/>
      <c r="J30" s="81"/>
      <c r="K30" s="82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2.0" customHeight="1">
      <c r="A31" s="79"/>
      <c r="D31" s="80"/>
      <c r="E31" s="81"/>
      <c r="I31" s="80"/>
      <c r="J31" s="81"/>
      <c r="K31" s="82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5.75" customHeight="1">
      <c r="A32" s="83"/>
      <c r="B32" s="84"/>
      <c r="C32" s="84"/>
      <c r="D32" s="85"/>
      <c r="E32" s="86"/>
      <c r="F32" s="84"/>
      <c r="G32" s="84"/>
      <c r="H32" s="84"/>
      <c r="I32" s="85"/>
      <c r="J32" s="86"/>
      <c r="K32" s="87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ht="15.75" customHeight="1">
      <c r="A33" s="88"/>
      <c r="B33" s="89"/>
      <c r="C33" s="89"/>
      <c r="D33" s="89"/>
      <c r="E33" s="89"/>
      <c r="F33" s="89"/>
      <c r="G33" s="89"/>
      <c r="H33" s="89"/>
      <c r="I33" s="89"/>
      <c r="J33" s="89"/>
      <c r="K33" s="90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</row>
  </sheetData>
  <mergeCells count="9">
    <mergeCell ref="E29:I32"/>
    <mergeCell ref="A33:K33"/>
    <mergeCell ref="A1:K1"/>
    <mergeCell ref="D3:E3"/>
    <mergeCell ref="A27:K27"/>
    <mergeCell ref="A28:I28"/>
    <mergeCell ref="J28:K28"/>
    <mergeCell ref="A29:D32"/>
    <mergeCell ref="J29:K32"/>
  </mergeCells>
  <printOptions horizontalCentered="1" verticalCentered="1"/>
  <pageMargins bottom="0.0" footer="0.0" header="0.0" left="0.0" right="0.0" top="0.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2009-09-18T11:03:54Z</dcterms:created>
  <dc:creator>Acer</dc:creator>
</cp:coreProperties>
</file>