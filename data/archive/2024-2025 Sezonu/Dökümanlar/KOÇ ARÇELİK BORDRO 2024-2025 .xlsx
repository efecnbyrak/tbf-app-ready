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KEM VE TEMSİLCİLER" sheetId="1" r:id="rId4"/>
    <sheet state="visible" name="Sayfa1" sheetId="2" r:id="rId5"/>
  </sheets>
  <definedNames/>
  <calcPr/>
  <extLst>
    <ext uri="GoogleSheetsCustomDataVersion2">
      <go:sheetsCustomData xmlns:go="http://customooxmlschemas.google.com/" r:id="rId6" roundtripDataChecksum="MMHlj65iPYoRN99iU3dCqP+KYttuRrVcWnyBiLniyT0="/>
    </ext>
  </extLst>
</workbook>
</file>

<file path=xl/sharedStrings.xml><?xml version="1.0" encoding="utf-8"?>
<sst xmlns="http://schemas.openxmlformats.org/spreadsheetml/2006/main" count="63" uniqueCount="30">
  <si>
    <t>ÖZEL TURNUVALARDA GÖREV YAPAN HAKEM, MASA GÖREVLİSİ VE GÖZLEMCİ  HAKEDİŞ BORDROSU - İSTANBUL İL TEMSİLCİLİĞİ</t>
  </si>
  <si>
    <t xml:space="preserve">           İHK</t>
  </si>
  <si>
    <t>FAALİYETİN ADI :  KOÇ TOPLULUĞU / ARÇELİK ÇAYIROVA</t>
  </si>
  <si>
    <t>ORG. SORUMLUSU ADI SOYADI :TURGAY ÖZDEMİR</t>
  </si>
  <si>
    <t>MAÇ GÜNÜ:</t>
  </si>
  <si>
    <t>İMZASI                                :</t>
  </si>
  <si>
    <t>………………………………………………</t>
  </si>
  <si>
    <t>SIRA
NO</t>
  </si>
  <si>
    <t>ADI SOYADI</t>
  </si>
  <si>
    <t>GÖREVİ</t>
  </si>
  <si>
    <t>GÖREV
SAYISI</t>
  </si>
  <si>
    <t xml:space="preserve">BRÜT ÜCRET </t>
  </si>
  <si>
    <t>TOPLAM
TUTAR</t>
  </si>
  <si>
    <t>DAMGA VERGİSİ
%  0,759</t>
  </si>
  <si>
    <t>NET ÖDENEN</t>
  </si>
  <si>
    <t>BANKA ADI</t>
  </si>
  <si>
    <t>İBAN NO</t>
  </si>
  <si>
    <t>İMZASI</t>
  </si>
  <si>
    <t>HAKEM</t>
  </si>
  <si>
    <t>TBF'DE MEVCUT</t>
  </si>
  <si>
    <t>TOPLAM</t>
  </si>
  <si>
    <t>MASA GÖREVLİSİ</t>
  </si>
  <si>
    <t>TEMSİLCİ</t>
  </si>
  <si>
    <t>GENEL TOPLAM</t>
  </si>
  <si>
    <t>Ödemenin yapılması uygundur</t>
  </si>
  <si>
    <t>Kontrol</t>
  </si>
  <si>
    <t>Onay</t>
  </si>
  <si>
    <t>CEM AKAN</t>
  </si>
  <si>
    <t>SERDAR ÇELİK</t>
  </si>
  <si>
    <t>DR. SERHAN ANTALYALI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</si>
</sst>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.mm\.yyyy"/>
    <numFmt numFmtId="165" formatCode="#,##0.00\ &quot;₺&quot;"/>
  </numFmts>
  <fonts count="11">
    <font>
      <sz val="11.0"/>
      <color rgb="FF000000"/>
      <name val="Calibri"/>
      <scheme val="minor"/>
    </font>
    <font>
      <b/>
      <sz val="10.0"/>
      <color rgb="FF000000"/>
      <name val="Arial"/>
    </font>
    <font/>
    <font>
      <sz val="11.0"/>
      <color rgb="FF000000"/>
      <name val="Calibri"/>
    </font>
    <font>
      <b/>
      <sz val="12.0"/>
      <color rgb="FF000000"/>
      <name val="Arial"/>
    </font>
    <font>
      <b/>
      <sz val="9.0"/>
      <color rgb="FF000000"/>
      <name val="Arial"/>
    </font>
    <font>
      <sz val="9.0"/>
      <color rgb="FF000000"/>
      <name val="Arial"/>
    </font>
    <font>
      <sz val="9.0"/>
      <color rgb="FF000000"/>
      <name val="Calibri"/>
    </font>
    <font>
      <sz val="9.0"/>
      <color theme="1"/>
      <name val="Arial"/>
    </font>
    <font>
      <sz val="11.0"/>
      <color rgb="FF000000"/>
      <name val="Arial"/>
    </font>
    <font>
      <b/>
      <sz val="8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5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right style="medium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double">
        <color rgb="FF000000"/>
      </lef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left style="thin">
        <color rgb="FF000000"/>
      </left>
      <right style="medium">
        <color rgb="FF000000"/>
      </right>
      <bottom style="double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/>
      <right/>
      <top/>
      <bottom/>
    </border>
    <border>
      <left style="medium">
        <color rgb="FF000000"/>
      </left>
      <top style="double">
        <color rgb="FF000000"/>
      </top>
    </border>
    <border>
      <top style="double">
        <color rgb="FF000000"/>
      </top>
    </border>
    <border>
      <right style="medium">
        <color rgb="FF000000"/>
      </right>
      <top style="double">
        <color rgb="FF000000"/>
      </top>
    </border>
    <border>
      <right style="hair">
        <color rgb="FF000000"/>
      </right>
      <top style="double">
        <color rgb="FF000000"/>
      </top>
    </border>
    <border>
      <left style="hair">
        <color rgb="FF000000"/>
      </left>
      <top style="double">
        <color rgb="FF000000"/>
      </top>
    </border>
    <border>
      <left style="medium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right style="medium">
        <color rgb="FF000000"/>
      </right>
      <top style="hair">
        <color rgb="FF000000"/>
      </top>
    </border>
    <border>
      <right style="hair">
        <color rgb="FF000000"/>
      </right>
    </border>
    <border>
      <left style="hair">
        <color rgb="FF000000"/>
      </lef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5" fillId="0" fontId="6" numFmtId="0" xfId="0" applyAlignment="1" applyBorder="1" applyFont="1">
      <alignment vertical="center"/>
    </xf>
    <xf borderId="0" fillId="0" fontId="4" numFmtId="0" xfId="0" applyAlignment="1" applyFont="1">
      <alignment horizontal="center" vertical="center"/>
    </xf>
    <xf borderId="0" fillId="0" fontId="5" numFmtId="164" xfId="0" applyAlignment="1" applyFont="1" applyNumberFormat="1">
      <alignment horizontal="left" readingOrder="0" vertical="center"/>
    </xf>
    <xf borderId="0" fillId="0" fontId="6" numFmtId="0" xfId="0" applyAlignment="1" applyFont="1">
      <alignment vertical="center"/>
    </xf>
    <xf borderId="6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left" readingOrder="0" vertical="center"/>
    </xf>
    <xf borderId="11" fillId="0" fontId="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readingOrder="0" vertical="center"/>
    </xf>
    <xf borderId="11" fillId="0" fontId="6" numFmtId="165" xfId="0" applyAlignment="1" applyBorder="1" applyFont="1" applyNumberFormat="1">
      <alignment horizontal="right" readingOrder="0" vertical="center"/>
    </xf>
    <xf borderId="11" fillId="0" fontId="6" numFmtId="165" xfId="0" applyAlignment="1" applyBorder="1" applyFont="1" applyNumberFormat="1">
      <alignment horizontal="right" vertical="center"/>
    </xf>
    <xf borderId="11" fillId="0" fontId="6" numFmtId="165" xfId="0" applyAlignment="1" applyBorder="1" applyFont="1" applyNumberFormat="1">
      <alignment vertical="center"/>
    </xf>
    <xf borderId="10" fillId="0" fontId="6" numFmtId="0" xfId="0" applyAlignment="1" applyBorder="1" applyFont="1">
      <alignment vertical="center"/>
    </xf>
    <xf borderId="10" fillId="0" fontId="6" numFmtId="4" xfId="0" applyAlignment="1" applyBorder="1" applyFont="1" applyNumberFormat="1">
      <alignment horizontal="center" vertical="center"/>
    </xf>
    <xf borderId="12" fillId="0" fontId="6" numFmtId="0" xfId="0" applyAlignment="1" applyBorder="1" applyFont="1">
      <alignment horizontal="center" vertical="center"/>
    </xf>
    <xf borderId="13" fillId="0" fontId="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left" readingOrder="0" vertical="center"/>
    </xf>
    <xf borderId="0" fillId="0" fontId="7" numFmtId="0" xfId="0" applyAlignment="1" applyFont="1">
      <alignment vertical="center"/>
    </xf>
    <xf borderId="10" fillId="0" fontId="6" numFmtId="0" xfId="0" applyAlignment="1" applyBorder="1" applyFont="1">
      <alignment horizontal="left" vertical="center"/>
    </xf>
    <xf borderId="15" fillId="0" fontId="6" numFmtId="0" xfId="0" applyAlignment="1" applyBorder="1" applyFont="1">
      <alignment horizontal="center" vertical="center"/>
    </xf>
    <xf borderId="16" fillId="0" fontId="6" numFmtId="0" xfId="0" applyAlignment="1" applyBorder="1" applyFont="1">
      <alignment horizontal="left" vertical="center"/>
    </xf>
    <xf borderId="16" fillId="2" fontId="5" numFmtId="0" xfId="0" applyAlignment="1" applyBorder="1" applyFill="1" applyFont="1">
      <alignment horizontal="right" vertical="center"/>
    </xf>
    <xf borderId="16" fillId="2" fontId="5" numFmtId="0" xfId="0" applyAlignment="1" applyBorder="1" applyFont="1">
      <alignment horizontal="center" vertical="center"/>
    </xf>
    <xf borderId="16" fillId="2" fontId="6" numFmtId="4" xfId="0" applyAlignment="1" applyBorder="1" applyFont="1" applyNumberFormat="1">
      <alignment horizontal="right" vertical="center"/>
    </xf>
    <xf borderId="16" fillId="2" fontId="5" numFmtId="165" xfId="0" applyAlignment="1" applyBorder="1" applyFont="1" applyNumberFormat="1">
      <alignment horizontal="right" vertical="center"/>
    </xf>
    <xf borderId="16" fillId="0" fontId="6" numFmtId="0" xfId="0" applyAlignment="1" applyBorder="1" applyFont="1">
      <alignment vertical="center"/>
    </xf>
    <xf borderId="16" fillId="0" fontId="6" numFmtId="4" xfId="0" applyAlignment="1" applyBorder="1" applyFont="1" applyNumberFormat="1">
      <alignment vertical="center"/>
    </xf>
    <xf borderId="17" fillId="0" fontId="6" numFmtId="0" xfId="0" applyAlignment="1" applyBorder="1" applyFont="1">
      <alignment horizontal="center" vertical="center"/>
    </xf>
    <xf borderId="18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left" shrinkToFit="0" vertical="center" wrapText="1"/>
    </xf>
    <xf borderId="19" fillId="0" fontId="5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horizontal="left" readingOrder="0" shrinkToFit="0" vertical="center" wrapText="1"/>
    </xf>
    <xf borderId="22" fillId="0" fontId="6" numFmtId="0" xfId="0" applyAlignment="1" applyBorder="1" applyFont="1">
      <alignment vertical="center"/>
    </xf>
    <xf borderId="23" fillId="0" fontId="6" numFmtId="0" xfId="0" applyAlignment="1" applyBorder="1" applyFont="1">
      <alignment horizontal="center" vertical="center"/>
    </xf>
    <xf borderId="24" fillId="0" fontId="3" numFmtId="0" xfId="0" applyAlignment="1" applyBorder="1" applyFont="1">
      <alignment vertical="center"/>
    </xf>
    <xf borderId="25" fillId="0" fontId="6" numFmtId="0" xfId="0" applyAlignment="1" applyBorder="1" applyFont="1">
      <alignment horizontal="center" vertical="center"/>
    </xf>
    <xf borderId="16" fillId="0" fontId="6" numFmtId="0" xfId="0" applyAlignment="1" applyBorder="1" applyFont="1">
      <alignment horizontal="center" vertical="center"/>
    </xf>
    <xf borderId="26" fillId="2" fontId="5" numFmtId="0" xfId="0" applyAlignment="1" applyBorder="1" applyFont="1">
      <alignment horizontal="center" vertical="center"/>
    </xf>
    <xf borderId="26" fillId="2" fontId="6" numFmtId="4" xfId="0" applyAlignment="1" applyBorder="1" applyFont="1" applyNumberFormat="1">
      <alignment horizontal="right" vertical="center"/>
    </xf>
    <xf borderId="26" fillId="2" fontId="5" numFmtId="165" xfId="0" applyAlignment="1" applyBorder="1" applyFont="1" applyNumberFormat="1">
      <alignment horizontal="right" vertical="center"/>
    </xf>
    <xf borderId="27" fillId="0" fontId="6" numFmtId="0" xfId="0" applyAlignment="1" applyBorder="1" applyFont="1">
      <alignment vertical="center"/>
    </xf>
    <xf borderId="28" fillId="0" fontId="5" numFmtId="0" xfId="0" applyAlignment="1" applyBorder="1" applyFont="1">
      <alignment horizontal="center" shrinkToFit="0" vertical="center" wrapText="1"/>
    </xf>
    <xf borderId="29" fillId="0" fontId="5" numFmtId="0" xfId="0" applyAlignment="1" applyBorder="1" applyFont="1">
      <alignment horizontal="center" shrinkToFit="0" vertical="center" wrapText="1"/>
    </xf>
    <xf borderId="30" fillId="0" fontId="5" numFmtId="0" xfId="0" applyAlignment="1" applyBorder="1" applyFont="1">
      <alignment horizontal="center" shrinkToFit="0" vertical="center" wrapText="1"/>
    </xf>
    <xf borderId="31" fillId="0" fontId="5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readingOrder="0" vertical="center"/>
    </xf>
    <xf borderId="11" fillId="0" fontId="3" numFmtId="0" xfId="0" applyAlignment="1" applyBorder="1" applyFont="1">
      <alignment vertical="center"/>
    </xf>
    <xf borderId="32" fillId="0" fontId="6" numFmtId="0" xfId="0" applyAlignment="1" applyBorder="1" applyFont="1">
      <alignment vertical="center"/>
    </xf>
    <xf borderId="10" fillId="0" fontId="6" numFmtId="0" xfId="0" applyBorder="1" applyFont="1"/>
    <xf borderId="10" fillId="0" fontId="3" numFmtId="0" xfId="0" applyAlignment="1" applyBorder="1" applyFont="1">
      <alignment vertical="center"/>
    </xf>
    <xf borderId="23" fillId="0" fontId="6" numFmtId="0" xfId="0" applyAlignment="1" applyBorder="1" applyFont="1">
      <alignment vertical="center"/>
    </xf>
    <xf borderId="33" fillId="0" fontId="6" numFmtId="0" xfId="0" applyAlignment="1" applyBorder="1" applyFont="1">
      <alignment horizontal="center" vertical="center"/>
    </xf>
    <xf borderId="16" fillId="2" fontId="6" numFmtId="165" xfId="0" applyAlignment="1" applyBorder="1" applyFont="1" applyNumberFormat="1">
      <alignment horizontal="right" vertical="center"/>
    </xf>
    <xf borderId="34" fillId="2" fontId="5" numFmtId="165" xfId="0" applyAlignment="1" applyBorder="1" applyFont="1" applyNumberFormat="1">
      <alignment horizontal="right" vertical="center"/>
    </xf>
    <xf borderId="35" fillId="0" fontId="6" numFmtId="4" xfId="0" applyAlignment="1" applyBorder="1" applyFont="1" applyNumberFormat="1">
      <alignment vertical="center"/>
    </xf>
    <xf borderId="17" fillId="0" fontId="6" numFmtId="0" xfId="0" applyAlignment="1" applyBorder="1" applyFont="1">
      <alignment vertical="center"/>
    </xf>
    <xf borderId="4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36" fillId="2" fontId="1" numFmtId="0" xfId="0" applyAlignment="1" applyBorder="1" applyFont="1">
      <alignment vertical="center"/>
    </xf>
    <xf borderId="26" fillId="2" fontId="1" numFmtId="0" xfId="0" applyAlignment="1" applyBorder="1" applyFont="1">
      <alignment horizontal="center" vertical="center"/>
    </xf>
    <xf borderId="26" fillId="2" fontId="1" numFmtId="165" xfId="0" applyAlignment="1" applyBorder="1" applyFont="1" applyNumberFormat="1">
      <alignment horizontal="right" vertical="center"/>
    </xf>
    <xf borderId="0" fillId="0" fontId="3" numFmtId="0" xfId="0" applyAlignment="1" applyFont="1">
      <alignment vertical="center"/>
    </xf>
    <xf borderId="5" fillId="0" fontId="3" numFmtId="0" xfId="0" applyAlignment="1" applyBorder="1" applyFont="1">
      <alignment vertical="center"/>
    </xf>
    <xf borderId="37" fillId="0" fontId="5" numFmtId="0" xfId="0" applyAlignment="1" applyBorder="1" applyFont="1">
      <alignment horizontal="center" vertical="center"/>
    </xf>
    <xf borderId="38" fillId="0" fontId="2" numFmtId="0" xfId="0" applyBorder="1" applyFont="1"/>
    <xf borderId="39" fillId="0" fontId="2" numFmtId="0" xfId="0" applyBorder="1" applyFont="1"/>
    <xf borderId="40" fillId="0" fontId="2" numFmtId="0" xfId="0" applyBorder="1" applyFont="1"/>
    <xf borderId="41" fillId="0" fontId="5" numFmtId="0" xfId="0" applyAlignment="1" applyBorder="1" applyFont="1">
      <alignment horizontal="center" vertical="center"/>
    </xf>
    <xf borderId="42" fillId="0" fontId="5" numFmtId="0" xfId="0" applyAlignment="1" applyBorder="1" applyFont="1">
      <alignment horizontal="center" readingOrder="0" vertical="center"/>
    </xf>
    <xf borderId="43" fillId="0" fontId="2" numFmtId="0" xfId="0" applyBorder="1" applyFont="1"/>
    <xf borderId="44" fillId="0" fontId="2" numFmtId="0" xfId="0" applyBorder="1" applyFont="1"/>
    <xf borderId="45" fillId="0" fontId="5" numFmtId="0" xfId="0" applyAlignment="1" applyBorder="1" applyFont="1">
      <alignment horizontal="center" readingOrder="0" vertical="center"/>
    </xf>
    <xf borderId="45" fillId="0" fontId="5" numFmtId="0" xfId="0" applyAlignment="1" applyBorder="1" applyFont="1">
      <alignment horizontal="center" vertical="center"/>
    </xf>
    <xf borderId="46" fillId="0" fontId="2" numFmtId="0" xfId="0" applyBorder="1" applyFont="1"/>
    <xf borderId="4" fillId="0" fontId="2" numFmtId="0" xfId="0" applyBorder="1" applyFont="1"/>
    <xf borderId="47" fillId="0" fontId="2" numFmtId="0" xfId="0" applyBorder="1" applyFont="1"/>
    <xf borderId="48" fillId="0" fontId="2" numFmtId="0" xfId="0" applyBorder="1" applyFont="1"/>
    <xf borderId="5" fillId="0" fontId="2" numFmtId="0" xfId="0" applyBorder="1" applyFont="1"/>
    <xf borderId="49" fillId="0" fontId="2" numFmtId="0" xfId="0" applyBorder="1" applyFont="1"/>
    <xf borderId="50" fillId="0" fontId="2" numFmtId="0" xfId="0" applyBorder="1" applyFont="1"/>
    <xf borderId="51" fillId="0" fontId="2" numFmtId="0" xfId="0" applyBorder="1" applyFont="1"/>
    <xf borderId="52" fillId="0" fontId="2" numFmtId="0" xfId="0" applyBorder="1" applyFont="1"/>
    <xf borderId="12" fillId="0" fontId="2" numFmtId="0" xfId="0" applyBorder="1" applyFont="1"/>
    <xf borderId="53" fillId="0" fontId="10" numFmtId="0" xfId="0" applyAlignment="1" applyBorder="1" applyFont="1">
      <alignment horizontal="center" vertical="center"/>
    </xf>
    <xf borderId="54" fillId="0" fontId="2" numFmtId="0" xfId="0" applyBorder="1" applyFont="1"/>
    <xf borderId="5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85725</xdr:rowOff>
    </xdr:from>
    <xdr:ext cx="5429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85725</xdr:rowOff>
    </xdr:from>
    <xdr:ext cx="5429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85725</xdr:rowOff>
    </xdr:from>
    <xdr:ext cx="5429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85725</xdr:rowOff>
    </xdr:from>
    <xdr:ext cx="5429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85725</xdr:rowOff>
    </xdr:from>
    <xdr:ext cx="5429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85725</xdr:rowOff>
    </xdr:from>
    <xdr:ext cx="5429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57"/>
    <col customWidth="1" min="2" max="2" width="25.86"/>
    <col customWidth="1" min="3" max="3" width="17.43"/>
    <col customWidth="1" min="4" max="4" width="7.43"/>
    <col customWidth="1" min="5" max="5" width="10.43"/>
    <col customWidth="1" min="6" max="6" width="10.57"/>
    <col customWidth="1" min="7" max="7" width="10.0"/>
    <col customWidth="1" min="8" max="8" width="10.57"/>
    <col customWidth="1" min="9" max="9" width="20.57"/>
    <col customWidth="1" min="10" max="10" width="32.43"/>
    <col customWidth="1" min="11" max="11" width="14.0"/>
  </cols>
  <sheetData>
    <row r="1" ht="23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3.25" customHeight="1">
      <c r="A2" s="5"/>
      <c r="B2" s="6" t="s">
        <v>1</v>
      </c>
      <c r="C2" s="7" t="s">
        <v>2</v>
      </c>
      <c r="D2" s="7"/>
      <c r="E2" s="8"/>
      <c r="F2" s="8"/>
      <c r="G2" s="6"/>
      <c r="H2" s="6"/>
      <c r="I2" s="7" t="s">
        <v>3</v>
      </c>
      <c r="J2" s="8"/>
      <c r="K2" s="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3.25" customHeight="1">
      <c r="A3" s="5"/>
      <c r="B3" s="10"/>
      <c r="C3" s="8" t="s">
        <v>4</v>
      </c>
      <c r="D3" s="11"/>
      <c r="F3" s="6"/>
      <c r="G3" s="10"/>
      <c r="H3" s="10"/>
      <c r="I3" s="8" t="s">
        <v>5</v>
      </c>
      <c r="J3" s="12" t="s">
        <v>6</v>
      </c>
      <c r="K3" s="9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9.75" customHeight="1">
      <c r="A4" s="13" t="s">
        <v>7</v>
      </c>
      <c r="B4" s="14" t="s">
        <v>8</v>
      </c>
      <c r="C4" s="14" t="s">
        <v>9</v>
      </c>
      <c r="D4" s="14" t="s">
        <v>10</v>
      </c>
      <c r="E4" s="15" t="s">
        <v>11</v>
      </c>
      <c r="F4" s="14" t="s">
        <v>12</v>
      </c>
      <c r="G4" s="14" t="s">
        <v>13</v>
      </c>
      <c r="H4" s="14" t="s">
        <v>14</v>
      </c>
      <c r="I4" s="14" t="s">
        <v>15</v>
      </c>
      <c r="J4" s="14" t="s">
        <v>16</v>
      </c>
      <c r="K4" s="16" t="s">
        <v>17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7">
        <v>1.0</v>
      </c>
      <c r="B5" s="18"/>
      <c r="C5" s="19" t="s">
        <v>18</v>
      </c>
      <c r="D5" s="20">
        <v>1.0</v>
      </c>
      <c r="E5" s="21">
        <v>1500.0</v>
      </c>
      <c r="F5" s="22">
        <f t="shared" ref="F5:F10" si="1">D5*E5</f>
        <v>1500</v>
      </c>
      <c r="G5" s="23">
        <f t="shared" ref="G5:G10" si="2">+F5/0.99241*(0.759%)</f>
        <v>11.47207303</v>
      </c>
      <c r="H5" s="23">
        <f t="shared" ref="H5:H10" si="3">F5-G5</f>
        <v>1488.527927</v>
      </c>
      <c r="I5" s="24"/>
      <c r="J5" s="25" t="s">
        <v>19</v>
      </c>
      <c r="K5" s="26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27">
        <v>2.0</v>
      </c>
      <c r="B6" s="18"/>
      <c r="C6" s="28" t="s">
        <v>18</v>
      </c>
      <c r="D6" s="20">
        <v>1.0</v>
      </c>
      <c r="E6" s="21">
        <v>1500.0</v>
      </c>
      <c r="F6" s="22">
        <f t="shared" si="1"/>
        <v>1500</v>
      </c>
      <c r="G6" s="23">
        <f t="shared" si="2"/>
        <v>11.47207303</v>
      </c>
      <c r="H6" s="23">
        <f t="shared" si="3"/>
        <v>1488.527927</v>
      </c>
      <c r="I6" s="24"/>
      <c r="J6" s="25" t="s">
        <v>19</v>
      </c>
      <c r="K6" s="2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27">
        <v>3.0</v>
      </c>
      <c r="B7" s="30"/>
      <c r="C7" s="19" t="s">
        <v>18</v>
      </c>
      <c r="D7" s="20">
        <v>1.0</v>
      </c>
      <c r="E7" s="21">
        <v>1500.0</v>
      </c>
      <c r="F7" s="22">
        <f t="shared" si="1"/>
        <v>1500</v>
      </c>
      <c r="G7" s="23">
        <f t="shared" si="2"/>
        <v>11.47207303</v>
      </c>
      <c r="H7" s="23">
        <f t="shared" si="3"/>
        <v>1488.527927</v>
      </c>
      <c r="I7" s="31"/>
      <c r="J7" s="25"/>
      <c r="K7" s="29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27">
        <v>4.0</v>
      </c>
      <c r="B8" s="30"/>
      <c r="C8" s="28"/>
      <c r="D8" s="20">
        <v>0.0</v>
      </c>
      <c r="E8" s="21">
        <v>0.0</v>
      </c>
      <c r="F8" s="22">
        <f t="shared" si="1"/>
        <v>0</v>
      </c>
      <c r="G8" s="23">
        <f t="shared" si="2"/>
        <v>0</v>
      </c>
      <c r="H8" s="23">
        <f t="shared" si="3"/>
        <v>0</v>
      </c>
      <c r="I8" s="24"/>
      <c r="J8" s="25"/>
      <c r="K8" s="29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27">
        <v>5.0</v>
      </c>
      <c r="B9" s="32"/>
      <c r="C9" s="28"/>
      <c r="D9" s="28">
        <v>0.0</v>
      </c>
      <c r="E9" s="21">
        <v>0.0</v>
      </c>
      <c r="F9" s="22">
        <f t="shared" si="1"/>
        <v>0</v>
      </c>
      <c r="G9" s="23">
        <f t="shared" si="2"/>
        <v>0</v>
      </c>
      <c r="H9" s="23">
        <f t="shared" si="3"/>
        <v>0</v>
      </c>
      <c r="I9" s="24"/>
      <c r="J9" s="25"/>
      <c r="K9" s="2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27">
        <v>6.0</v>
      </c>
      <c r="B10" s="32"/>
      <c r="C10" s="28"/>
      <c r="D10" s="28">
        <v>0.0</v>
      </c>
      <c r="E10" s="21">
        <v>0.0</v>
      </c>
      <c r="F10" s="22">
        <f t="shared" si="1"/>
        <v>0</v>
      </c>
      <c r="G10" s="23">
        <f t="shared" si="2"/>
        <v>0</v>
      </c>
      <c r="H10" s="23">
        <f t="shared" si="3"/>
        <v>0</v>
      </c>
      <c r="I10" s="24"/>
      <c r="J10" s="25"/>
      <c r="K10" s="2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33"/>
      <c r="B11" s="34"/>
      <c r="C11" s="35" t="s">
        <v>20</v>
      </c>
      <c r="D11" s="36">
        <f>SUM(D5:D10)</f>
        <v>3</v>
      </c>
      <c r="E11" s="37"/>
      <c r="F11" s="38">
        <f t="shared" ref="F11:H11" si="4">SUM(F5:F10)</f>
        <v>4500</v>
      </c>
      <c r="G11" s="38">
        <f t="shared" si="4"/>
        <v>34.4162191</v>
      </c>
      <c r="H11" s="38">
        <f t="shared" si="4"/>
        <v>4465.583781</v>
      </c>
      <c r="I11" s="39"/>
      <c r="J11" s="40"/>
      <c r="K11" s="41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9.75" customHeight="1">
      <c r="A12" s="42" t="s">
        <v>7</v>
      </c>
      <c r="B12" s="43" t="s">
        <v>8</v>
      </c>
      <c r="C12" s="14" t="s">
        <v>9</v>
      </c>
      <c r="D12" s="14" t="s">
        <v>10</v>
      </c>
      <c r="E12" s="15" t="s">
        <v>11</v>
      </c>
      <c r="F12" s="14" t="s">
        <v>12</v>
      </c>
      <c r="G12" s="14" t="s">
        <v>13</v>
      </c>
      <c r="H12" s="14" t="s">
        <v>14</v>
      </c>
      <c r="I12" s="44" t="s">
        <v>15</v>
      </c>
      <c r="J12" s="45" t="s">
        <v>16</v>
      </c>
      <c r="K12" s="46" t="s">
        <v>17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27">
        <v>1.0</v>
      </c>
      <c r="B13" s="47"/>
      <c r="C13" s="28" t="s">
        <v>21</v>
      </c>
      <c r="D13" s="20">
        <v>1.0</v>
      </c>
      <c r="E13" s="21">
        <v>500.0</v>
      </c>
      <c r="F13" s="22">
        <f t="shared" ref="F13:F16" si="5">D13*E13</f>
        <v>500</v>
      </c>
      <c r="G13" s="23">
        <f t="shared" ref="G13:G16" si="6">+F13/0.99241*(0.759%)</f>
        <v>3.824024345</v>
      </c>
      <c r="H13" s="23">
        <f t="shared" ref="H13:H16" si="7">F13-G13</f>
        <v>496.1759757</v>
      </c>
      <c r="I13" s="48"/>
      <c r="J13" s="25" t="s">
        <v>19</v>
      </c>
      <c r="K13" s="49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27">
        <v>2.0</v>
      </c>
      <c r="B14" s="47"/>
      <c r="C14" s="28" t="s">
        <v>21</v>
      </c>
      <c r="D14" s="20">
        <v>1.0</v>
      </c>
      <c r="E14" s="21">
        <v>500.0</v>
      </c>
      <c r="F14" s="22">
        <f t="shared" si="5"/>
        <v>500</v>
      </c>
      <c r="G14" s="23">
        <f t="shared" si="6"/>
        <v>3.824024345</v>
      </c>
      <c r="H14" s="23">
        <f t="shared" si="7"/>
        <v>496.1759757</v>
      </c>
      <c r="I14" s="48"/>
      <c r="J14" s="25" t="s">
        <v>19</v>
      </c>
      <c r="K14" s="49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27">
        <v>3.0</v>
      </c>
      <c r="B15" s="47"/>
      <c r="C15" s="28" t="s">
        <v>21</v>
      </c>
      <c r="D15" s="20">
        <v>1.0</v>
      </c>
      <c r="E15" s="21">
        <v>500.0</v>
      </c>
      <c r="F15" s="22">
        <f t="shared" si="5"/>
        <v>500</v>
      </c>
      <c r="G15" s="23">
        <f t="shared" si="6"/>
        <v>3.824024345</v>
      </c>
      <c r="H15" s="23">
        <f t="shared" si="7"/>
        <v>496.1759757</v>
      </c>
      <c r="I15" s="50"/>
      <c r="J15" s="25" t="s">
        <v>19</v>
      </c>
      <c r="K15" s="49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27">
        <v>6.0</v>
      </c>
      <c r="B16" s="32"/>
      <c r="C16" s="28"/>
      <c r="D16" s="28">
        <v>0.0</v>
      </c>
      <c r="E16" s="21"/>
      <c r="F16" s="22">
        <f t="shared" si="5"/>
        <v>0</v>
      </c>
      <c r="G16" s="23">
        <f t="shared" si="6"/>
        <v>0</v>
      </c>
      <c r="H16" s="23">
        <f t="shared" si="7"/>
        <v>0</v>
      </c>
      <c r="I16" s="48"/>
      <c r="J16" s="25"/>
      <c r="K16" s="49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51"/>
      <c r="B17" s="52"/>
      <c r="C17" s="35" t="s">
        <v>20</v>
      </c>
      <c r="D17" s="53">
        <f>SUM(D13:D16)</f>
        <v>3</v>
      </c>
      <c r="E17" s="54"/>
      <c r="F17" s="55">
        <f t="shared" ref="F17:H17" si="8">SUM(F13:F16)</f>
        <v>1500</v>
      </c>
      <c r="G17" s="55">
        <f t="shared" si="8"/>
        <v>11.47207303</v>
      </c>
      <c r="H17" s="55">
        <f t="shared" si="8"/>
        <v>1488.527927</v>
      </c>
      <c r="I17" s="56"/>
      <c r="J17" s="25"/>
      <c r="K17" s="41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9.75" customHeight="1">
      <c r="A18" s="42" t="s">
        <v>7</v>
      </c>
      <c r="B18" s="57" t="s">
        <v>8</v>
      </c>
      <c r="C18" s="14" t="s">
        <v>9</v>
      </c>
      <c r="D18" s="14" t="s">
        <v>10</v>
      </c>
      <c r="E18" s="15" t="s">
        <v>11</v>
      </c>
      <c r="F18" s="14" t="s">
        <v>12</v>
      </c>
      <c r="G18" s="14" t="s">
        <v>13</v>
      </c>
      <c r="H18" s="14" t="s">
        <v>14</v>
      </c>
      <c r="I18" s="58" t="s">
        <v>15</v>
      </c>
      <c r="J18" s="59" t="s">
        <v>16</v>
      </c>
      <c r="K18" s="60" t="s">
        <v>17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27">
        <v>1.0</v>
      </c>
      <c r="B19" s="61"/>
      <c r="C19" s="28" t="s">
        <v>22</v>
      </c>
      <c r="D19" s="20">
        <v>1.0</v>
      </c>
      <c r="E19" s="21">
        <v>750.0</v>
      </c>
      <c r="F19" s="22">
        <f t="shared" ref="F19:F20" si="9">D19*E19</f>
        <v>750</v>
      </c>
      <c r="G19" s="23">
        <f t="shared" ref="G19:G20" si="10">+F19/0.99241*(0.759%)</f>
        <v>5.736036517</v>
      </c>
      <c r="H19" s="23">
        <f t="shared" ref="H19:H20" si="11">F19-G19</f>
        <v>744.2639635</v>
      </c>
      <c r="I19" s="62"/>
      <c r="J19" s="28" t="s">
        <v>19</v>
      </c>
      <c r="K19" s="6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27">
        <v>2.0</v>
      </c>
      <c r="B20" s="64"/>
      <c r="C20" s="28"/>
      <c r="D20" s="28">
        <v>0.0</v>
      </c>
      <c r="E20" s="21"/>
      <c r="F20" s="22">
        <f t="shared" si="9"/>
        <v>0</v>
      </c>
      <c r="G20" s="23">
        <f t="shared" si="10"/>
        <v>0</v>
      </c>
      <c r="H20" s="23">
        <f t="shared" si="11"/>
        <v>0</v>
      </c>
      <c r="I20" s="65"/>
      <c r="J20" s="28"/>
      <c r="K20" s="6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3"/>
      <c r="B21" s="67"/>
      <c r="C21" s="35" t="s">
        <v>20</v>
      </c>
      <c r="D21" s="36">
        <f>SUM(D19:D20)</f>
        <v>1</v>
      </c>
      <c r="E21" s="68"/>
      <c r="F21" s="38">
        <f t="shared" ref="F21:H21" si="12">SUM(F19:F20)</f>
        <v>750</v>
      </c>
      <c r="G21" s="38">
        <f t="shared" si="12"/>
        <v>5.736036517</v>
      </c>
      <c r="H21" s="69">
        <f t="shared" si="12"/>
        <v>744.2639635</v>
      </c>
      <c r="I21" s="56"/>
      <c r="J21" s="70"/>
      <c r="K21" s="71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72"/>
      <c r="B22" s="73"/>
      <c r="C22" s="74" t="s">
        <v>23</v>
      </c>
      <c r="D22" s="75">
        <f>+D21+D17+D11</f>
        <v>7</v>
      </c>
      <c r="E22" s="76"/>
      <c r="F22" s="76">
        <f t="shared" ref="F22:H22" si="13">+F21+F17+F11</f>
        <v>6750</v>
      </c>
      <c r="G22" s="76">
        <f t="shared" si="13"/>
        <v>51.62432865</v>
      </c>
      <c r="H22" s="76">
        <f t="shared" si="13"/>
        <v>6698.375671</v>
      </c>
      <c r="I22" s="77"/>
      <c r="J22" s="77"/>
      <c r="K22" s="78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0" customHeight="1">
      <c r="A23" s="79" t="s">
        <v>24</v>
      </c>
      <c r="B23" s="80"/>
      <c r="C23" s="80"/>
      <c r="D23" s="80"/>
      <c r="E23" s="80"/>
      <c r="F23" s="80"/>
      <c r="G23" s="80"/>
      <c r="H23" s="80"/>
      <c r="I23" s="80"/>
      <c r="J23" s="80"/>
      <c r="K23" s="81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0" customHeight="1">
      <c r="A24" s="79" t="s">
        <v>25</v>
      </c>
      <c r="B24" s="80"/>
      <c r="C24" s="80"/>
      <c r="D24" s="80"/>
      <c r="E24" s="80"/>
      <c r="F24" s="80"/>
      <c r="G24" s="80"/>
      <c r="H24" s="80"/>
      <c r="I24" s="82"/>
      <c r="J24" s="83" t="s">
        <v>26</v>
      </c>
      <c r="K24" s="81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0" customHeight="1">
      <c r="A25" s="84" t="s">
        <v>27</v>
      </c>
      <c r="B25" s="85"/>
      <c r="C25" s="85"/>
      <c r="D25" s="86"/>
      <c r="E25" s="87" t="s">
        <v>28</v>
      </c>
      <c r="F25" s="85"/>
      <c r="G25" s="85"/>
      <c r="H25" s="85"/>
      <c r="I25" s="86"/>
      <c r="J25" s="88" t="s">
        <v>29</v>
      </c>
      <c r="K25" s="89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0" customHeight="1">
      <c r="A26" s="90"/>
      <c r="D26" s="91"/>
      <c r="E26" s="92"/>
      <c r="I26" s="91"/>
      <c r="J26" s="92"/>
      <c r="K26" s="9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0" customHeight="1">
      <c r="A27" s="90"/>
      <c r="D27" s="91"/>
      <c r="E27" s="92"/>
      <c r="I27" s="91"/>
      <c r="J27" s="92"/>
      <c r="K27" s="9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94"/>
      <c r="B28" s="95"/>
      <c r="C28" s="95"/>
      <c r="D28" s="96"/>
      <c r="E28" s="97"/>
      <c r="F28" s="95"/>
      <c r="G28" s="95"/>
      <c r="H28" s="95"/>
      <c r="I28" s="96"/>
      <c r="J28" s="97"/>
      <c r="K28" s="98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99"/>
      <c r="B29" s="100"/>
      <c r="C29" s="100"/>
      <c r="D29" s="100"/>
      <c r="E29" s="100"/>
      <c r="F29" s="100"/>
      <c r="G29" s="100"/>
      <c r="H29" s="100"/>
      <c r="I29" s="100"/>
      <c r="J29" s="100"/>
      <c r="K29" s="101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73"/>
      <c r="B75" s="73"/>
      <c r="C75" s="73"/>
      <c r="D75" s="73"/>
      <c r="E75" s="73"/>
      <c r="F75" s="73"/>
      <c r="G75" s="73"/>
      <c r="H75" s="73"/>
      <c r="I75" s="77"/>
      <c r="J75" s="77"/>
      <c r="K75" s="77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9">
    <mergeCell ref="E25:I28"/>
    <mergeCell ref="A29:K29"/>
    <mergeCell ref="A1:K1"/>
    <mergeCell ref="D3:E3"/>
    <mergeCell ref="A23:K23"/>
    <mergeCell ref="A24:I24"/>
    <mergeCell ref="J24:K24"/>
    <mergeCell ref="A25:D28"/>
    <mergeCell ref="J25:K28"/>
  </mergeCells>
  <printOptions horizontalCentered="1" verticalCentered="1"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2009-09-18T11:03:54Z</dcterms:created>
  <dc:creator>Acer</dc:creator>
</cp:coreProperties>
</file>